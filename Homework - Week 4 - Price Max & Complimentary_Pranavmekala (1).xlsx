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prana\Downloads\"/>
    </mc:Choice>
  </mc:AlternateContent>
  <xr:revisionPtr revIDLastSave="0" documentId="8_{60B81CA5-D9F7-4A6F-9597-68A69042C62F}" xr6:coauthVersionLast="47" xr6:coauthVersionMax="47" xr10:uidLastSave="{00000000-0000-0000-0000-000000000000}"/>
  <bookViews>
    <workbookView xWindow="-96" yWindow="-96" windowWidth="17472" windowHeight="10992" xr2:uid="{00000000-000D-0000-FFFF-FFFF00000000}"/>
  </bookViews>
  <sheets>
    <sheet name="Price Optimization (1)" sheetId="6" r:id="rId1"/>
    <sheet name="Price Optimization (2)" sheetId="3" r:id="rId2"/>
    <sheet name="Complimentary Pricing" sheetId="4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a">#REF!</definedName>
    <definedName name="a_">'[1]S-curve'!$K$11</definedName>
    <definedName name="aa">'[2]S-curve'!$F$14</definedName>
    <definedName name="alp">#REF!</definedName>
    <definedName name="alpha">#REF!</definedName>
    <definedName name="amount">[3]RFM!$E$11:$E$30</definedName>
    <definedName name="anngrowth">'[4]Dynamic Labels'!$D$3</definedName>
    <definedName name="apar">[5]gomp!$H$3</definedName>
    <definedName name="aprime">#REF!</definedName>
    <definedName name="aprime1">#REF!</definedName>
    <definedName name="Assigned">'[6]soap cluster 3'!$P$15:$P$132</definedName>
    <definedName name="AXY">'[6]MDS (Sum)'!$B$42:$C$42</definedName>
    <definedName name="b">#REF!</definedName>
    <definedName name="b_">'[1]S-curve'!$L$11</definedName>
    <definedName name="base">[7]initialization!$G$6</definedName>
    <definedName name="baseadd">'[1]Trend &amp; Seasonality a'!$B$6</definedName>
    <definedName name="bb">#REF!</definedName>
    <definedName name="bet">#REF!</definedName>
    <definedName name="beta">#REF!</definedName>
    <definedName name="bpar">[5]gomp!$I$3</definedName>
    <definedName name="BXY">'[6]MDS (Sum)'!$B$43:$C$43</definedName>
    <definedName name="c_">[8]AMZ!$F$3</definedName>
    <definedName name="cc">'[2]S-curve'!$H$14</definedName>
    <definedName name="const">#REF!</definedName>
    <definedName name="cpar">[5]gomp!$J$3</definedName>
    <definedName name="CXY">'[6]MDS (Sum)'!$B$44:$C$44</definedName>
    <definedName name="Data">'[6]soap cluster 3'!$A$15:$K$132</definedName>
    <definedName name="date">[3]RFM!$C$11:$C$30</definedName>
    <definedName name="demand">#REF!</definedName>
    <definedName name="demand_A">'[1]Soap A &amp; B'!$W$14</definedName>
    <definedName name="discount_rate">'[9]basic model'!$B$1</definedName>
    <definedName name="discountrate">[1]CLV!$B$7</definedName>
    <definedName name="Distance">'[6]MDS (Sum)'!$F$25:$K$30</definedName>
    <definedName name="distances">[1]MDS!$F$29:$K$34</definedName>
    <definedName name="DXY">'[6]MDS (Sum)'!$B$45:$C$45</definedName>
    <definedName name="ERic">#REF!</definedName>
    <definedName name="EXY">'[6]MDS (Sum)'!$B$46:$C$46</definedName>
    <definedName name="F">[1]RFM!$M$11:$M$30</definedName>
    <definedName name="Frequency">[6]RFM!$K$11:$K$30</definedName>
    <definedName name="FXY">'[6]MDS (Sum)'!$B$47:$C$47</definedName>
    <definedName name="gam">#REF!</definedName>
    <definedName name="gamma">#REF!</definedName>
    <definedName name="improve_half_way_years_needed">'[9]growing margins'!$G$5</definedName>
    <definedName name="k">'[9]growing margins'!$I$4</definedName>
    <definedName name="kretent">#REF!</definedName>
    <definedName name="L">#REF!</definedName>
    <definedName name="lookdis">'[9]basic model'!$H$3:$I$5</definedName>
    <definedName name="lookinc">#REF!</definedName>
    <definedName name="lookjob">#REF!</definedName>
    <definedName name="lookmarr">#REF!</definedName>
    <definedName name="lookseason">#REF!</definedName>
    <definedName name="Lookup">[10]nfl2000!$L$3:$M$33</definedName>
    <definedName name="Lookup_">[1]Cluster!$A$10:$P$30</definedName>
    <definedName name="lookup2">'[1]Soap A &amp; B'!$N$133:$U$251</definedName>
    <definedName name="lookup3">'[1]Soap A &amp; B'!$A$268:$G$386</definedName>
    <definedName name="M">[1]RFM!$N$11:$N$30</definedName>
    <definedName name="MargBenefits">[11]agency!$B$40:$B$41</definedName>
    <definedName name="Monetary">[6]RFM!$L$11:$L$30</definedName>
    <definedName name="Most__Recent_Order">[1]RFM!$B$11:$B$30</definedName>
    <definedName name="Nbar">#REF!</definedName>
    <definedName name="NewFraser">[3]Cluster!$R$27:$X$27</definedName>
    <definedName name="NewGorham">[3]Cluster!$AH$27:$AN$27</definedName>
    <definedName name="NewKingsgate">[3]Cluster!$Z$27:$AF$27</definedName>
    <definedName name="Number_of__Orders">[1]RFM!$C$11:$C$30</definedName>
    <definedName name="Old">#REF!</definedName>
    <definedName name="orders">[3]RFM!$D$11:$D$30</definedName>
    <definedName name="OriginalData">'[6]MDS (VRank)'!$F$32:$K$37</definedName>
    <definedName name="OriginalRank">'[6]MDS (VRank)'!$F$41:$K$46</definedName>
    <definedName name="OriginalRanks">'[6]MDS (Sum)'!$F$33:$K$38</definedName>
    <definedName name="p">#REF!</definedName>
    <definedName name="Price">'[6]Answer - Soap A &amp; B'!$C$2:$C$119</definedName>
    <definedName name="price_A">'[1]Soap A &amp; B'!$W$13</definedName>
    <definedName name="Product">'[6]Answer - Soap A &amp; B'!$B$2:$B$119</definedName>
    <definedName name="Profit">'[6]soap cluster 3'!$Q$15:$Q$132</definedName>
    <definedName name="q">#REF!</definedName>
    <definedName name="Q1_">#REF!</definedName>
    <definedName name="Q2_">#REF!</definedName>
    <definedName name="Q3_">#REF!</definedName>
    <definedName name="Q4_">#REF!</definedName>
    <definedName name="Quartile1">[3]Cluster!$B$29:$J$29</definedName>
    <definedName name="Quartile2">[3]Cluster!$B$30:$J$30</definedName>
    <definedName name="Quartile3">[3]Cluster!$B$31:$J$31</definedName>
    <definedName name="R_">[1]RFM!$L$11:$L$30</definedName>
    <definedName name="rating">[12]RFM!$P$3:$Q$6</definedName>
    <definedName name="Recency">[6]RFM!$J$11:$J$30</definedName>
    <definedName name="retention_rate">'[9]basic model'!$B$2</definedName>
    <definedName name="retentionrate">[1]CLV!$B$8</definedName>
    <definedName name="RFMDATA">'[6]Cluster (Answer)'!$A$11:$S$30</definedName>
    <definedName name="rfmlookup">[3]RFM!$N$3:$O$6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10000</definedName>
    <definedName name="RiskNumSimulations" hidden="1">1</definedName>
    <definedName name="RiskPauseOnError" hidden="1">FALSE</definedName>
    <definedName name="RiskRealTimeResults">FALSE</definedName>
    <definedName name="RiskResultsUpdateFreq">100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StatFunctionsUpdateFreq">1</definedName>
    <definedName name="RiskUpdateDisplay" hidden="1">FALSE</definedName>
    <definedName name="RiskUpdateStatFunctions">TRUE</definedName>
    <definedName name="RiskUseDifferentSeedForEachSim" hidden="1">FALSE</definedName>
    <definedName name="RiskUseFixedSeed" hidden="1">FALSE</definedName>
    <definedName name="RiskUseMultipleCPUs" hidden="1">TRUE</definedName>
    <definedName name="Sales">'[6]Answer - Soap A &amp; B'!$D$2:$D$119</definedName>
    <definedName name="Sales__Dollars">[1]RFM!$D$11:$D$30</definedName>
    <definedName name="season">[7]initialization!$H$3:$I$14</definedName>
    <definedName name="SecondRank">'[6]MDS (VRank)'!$F$60:$K$65</definedName>
    <definedName name="solver_adj" localSheetId="2" hidden="1">'Complimentary Pricing'!$B$22</definedName>
    <definedName name="solver_adj" localSheetId="0" hidden="1">'Price Optimization (1)'!$B$124</definedName>
    <definedName name="solver_adj" localSheetId="1" hidden="1">'Price Optimization (2)'!$A$3:$A$6</definedName>
    <definedName name="solver_cvg" localSheetId="2" hidden="1">0.0001</definedName>
    <definedName name="solver_cvg" localSheetId="0" hidden="1">0.0001</definedName>
    <definedName name="solver_cvg" localSheetId="1" hidden="1">0.0001</definedName>
    <definedName name="solver_drv" localSheetId="2" hidden="1">1</definedName>
    <definedName name="solver_drv" localSheetId="0" hidden="1">1</definedName>
    <definedName name="solver_drv" localSheetId="1" hidden="1">2</definedName>
    <definedName name="solver_eng" localSheetId="2" hidden="1">1</definedName>
    <definedName name="solver_eng" localSheetId="0" hidden="1">1</definedName>
    <definedName name="solver_eng" localSheetId="1" hidden="1">1</definedName>
    <definedName name="solver_est" localSheetId="2" hidden="1">1</definedName>
    <definedName name="solver_est" localSheetId="0" hidden="1">1</definedName>
    <definedName name="solver_est" localSheetId="1" hidden="1">1</definedName>
    <definedName name="solver_itr" localSheetId="2" hidden="1">2147483647</definedName>
    <definedName name="solver_itr" localSheetId="0" hidden="1">2147483647</definedName>
    <definedName name="solver_itr" localSheetId="1" hidden="1">2147483647</definedName>
    <definedName name="solver_lhs1" localSheetId="2" hidden="1">'Complimentary Pricing'!$B$22</definedName>
    <definedName name="solver_lhs1" localSheetId="0" hidden="1">'Price Optimization (1)'!$B$124</definedName>
    <definedName name="solver_lhs1" localSheetId="1" hidden="1">'Price Optimization (2)'!$A$3:$A$6</definedName>
    <definedName name="solver_lhs2" localSheetId="2" hidden="1">'Complimentary Pricing'!$B$22</definedName>
    <definedName name="solver_lhs2" localSheetId="0" hidden="1">'Price Optimization (1)'!$B$124</definedName>
    <definedName name="solver_lhs2" localSheetId="1" hidden="1">'Price Optimization (2)'!$A$3:$A$6</definedName>
    <definedName name="solver_lhs3" localSheetId="2" hidden="1">'Complimentary Pricing'!$B$14</definedName>
    <definedName name="solver_lhs3" localSheetId="1" hidden="1">'Price Optimization (2)'!$A$3:$A$6</definedName>
    <definedName name="solver_lhs4" localSheetId="1" hidden="1">'Price Optimization (2)'!$A$3:$A$6</definedName>
    <definedName name="solver_mip" localSheetId="2" hidden="1">2147483647</definedName>
    <definedName name="solver_mip" localSheetId="0" hidden="1">2147483647</definedName>
    <definedName name="solver_mip" localSheetId="1" hidden="1">2147483647</definedName>
    <definedName name="solver_mni" localSheetId="2" hidden="1">30</definedName>
    <definedName name="solver_mni" localSheetId="0" hidden="1">30</definedName>
    <definedName name="solver_mni" localSheetId="1" hidden="1">30</definedName>
    <definedName name="solver_mrt" localSheetId="2" hidden="1">0.075</definedName>
    <definedName name="solver_mrt" localSheetId="0" hidden="1">0.075</definedName>
    <definedName name="solver_mrt" localSheetId="1" hidden="1">0.075</definedName>
    <definedName name="solver_msl" localSheetId="2" hidden="1">2</definedName>
    <definedName name="solver_msl" localSheetId="0" hidden="1">2</definedName>
    <definedName name="solver_msl" localSheetId="1" hidden="1">2</definedName>
    <definedName name="solver_neg" localSheetId="2" hidden="1">1</definedName>
    <definedName name="solver_neg" localSheetId="0" hidden="1">1</definedName>
    <definedName name="solver_neg" localSheetId="1" hidden="1">1</definedName>
    <definedName name="solver_nod" localSheetId="2" hidden="1">2147483647</definedName>
    <definedName name="solver_nod" localSheetId="0" hidden="1">2147483647</definedName>
    <definedName name="solver_nod" localSheetId="1" hidden="1">2147483647</definedName>
    <definedName name="solver_num" localSheetId="2" hidden="1">2</definedName>
    <definedName name="solver_num" localSheetId="0" hidden="1">2</definedName>
    <definedName name="solver_num" localSheetId="1" hidden="1">4</definedName>
    <definedName name="solver_nwt" localSheetId="2" hidden="1">1</definedName>
    <definedName name="solver_nwt" localSheetId="0" hidden="1">1</definedName>
    <definedName name="solver_nwt" localSheetId="1" hidden="1">1</definedName>
    <definedName name="solver_opt" localSheetId="2" hidden="1">'Complimentary Pricing'!$K$22</definedName>
    <definedName name="solver_opt" localSheetId="0" hidden="1">'Price Optimization (1)'!$B$127</definedName>
    <definedName name="solver_opt" localSheetId="1" hidden="1">'Price Optimization (2)'!$E$7</definedName>
    <definedName name="solver_pre" localSheetId="2" hidden="1">0.000001</definedName>
    <definedName name="solver_pre" localSheetId="0" hidden="1">0.000001</definedName>
    <definedName name="solver_pre" localSheetId="1" hidden="1">0.000001</definedName>
    <definedName name="solver_rbv" localSheetId="2" hidden="1">1</definedName>
    <definedName name="solver_rbv" localSheetId="0" hidden="1">1</definedName>
    <definedName name="solver_rbv" localSheetId="1" hidden="1">2</definedName>
    <definedName name="solver_rel1" localSheetId="2" hidden="1">1</definedName>
    <definedName name="solver_rel1" localSheetId="0" hidden="1">1</definedName>
    <definedName name="solver_rel1" localSheetId="1" hidden="1">1</definedName>
    <definedName name="solver_rel2" localSheetId="2" hidden="1">3</definedName>
    <definedName name="solver_rel2" localSheetId="0" hidden="1">3</definedName>
    <definedName name="solver_rel2" localSheetId="1" hidden="1">3</definedName>
    <definedName name="solver_rel3" localSheetId="2" hidden="1">3</definedName>
    <definedName name="solver_rel3" localSheetId="1" hidden="1">3</definedName>
    <definedName name="solver_rel4" localSheetId="1" hidden="1">3</definedName>
    <definedName name="solver_rhs1" localSheetId="2" hidden="1">300</definedName>
    <definedName name="solver_rhs1" localSheetId="0" hidden="1">100</definedName>
    <definedName name="solver_rhs1" localSheetId="1" hidden="1">15</definedName>
    <definedName name="solver_rhs2" localSheetId="2" hidden="1">50</definedName>
    <definedName name="solver_rhs2" localSheetId="0" hidden="1">12</definedName>
    <definedName name="solver_rhs2" localSheetId="1" hidden="1">'Price Optimization (2)'!$B$32</definedName>
    <definedName name="solver_rhs3" localSheetId="2" hidden="1">10</definedName>
    <definedName name="solver_rhs3" localSheetId="1" hidden="1">0</definedName>
    <definedName name="solver_rhs4" localSheetId="1" hidden="1">0</definedName>
    <definedName name="solver_rlx" localSheetId="2" hidden="1">2</definedName>
    <definedName name="solver_rlx" localSheetId="0" hidden="1">2</definedName>
    <definedName name="solver_rlx" localSheetId="1" hidden="1">2</definedName>
    <definedName name="solver_rsd" localSheetId="2" hidden="1">0</definedName>
    <definedName name="solver_rsd" localSheetId="0" hidden="1">0</definedName>
    <definedName name="solver_rsd" localSheetId="1" hidden="1">0</definedName>
    <definedName name="solver_scl" localSheetId="2" hidden="1">1</definedName>
    <definedName name="solver_scl" localSheetId="0" hidden="1">1</definedName>
    <definedName name="solver_scl" localSheetId="1" hidden="1">2</definedName>
    <definedName name="solver_sho" localSheetId="2" hidden="1">2</definedName>
    <definedName name="solver_sho" localSheetId="0" hidden="1">2</definedName>
    <definedName name="solver_sho" localSheetId="1" hidden="1">2</definedName>
    <definedName name="solver_ssz" localSheetId="2" hidden="1">100</definedName>
    <definedName name="solver_ssz" localSheetId="0" hidden="1">100</definedName>
    <definedName name="solver_ssz" localSheetId="1" hidden="1">100</definedName>
    <definedName name="solver_tim" localSheetId="2" hidden="1">2147483647</definedName>
    <definedName name="solver_tim" localSheetId="0" hidden="1">2147483647</definedName>
    <definedName name="solver_tim" localSheetId="1" hidden="1">2147483647</definedName>
    <definedName name="solver_tol" localSheetId="2" hidden="1">0.01</definedName>
    <definedName name="solver_tol" localSheetId="0" hidden="1">0.01</definedName>
    <definedName name="solver_tol" localSheetId="1" hidden="1">0.01</definedName>
    <definedName name="solver_typ" localSheetId="2" hidden="1">1</definedName>
    <definedName name="solver_typ" localSheetId="0" hidden="1">1</definedName>
    <definedName name="solver_typ" localSheetId="1" hidden="1">1</definedName>
    <definedName name="solver_val" localSheetId="2" hidden="1">0</definedName>
    <definedName name="solver_val" localSheetId="0" hidden="1">0</definedName>
    <definedName name="solver_val" localSheetId="1" hidden="1">0</definedName>
    <definedName name="solver_ver" localSheetId="2" hidden="1">3</definedName>
    <definedName name="solver_ver" localSheetId="0" hidden="1">3</definedName>
    <definedName name="solver_ver" localSheetId="1" hidden="1">3</definedName>
    <definedName name="steady_state_margin">'[9]growing margins'!$G$4</definedName>
    <definedName name="steady_state_retenion">#REF!</definedName>
    <definedName name="target">'[4]Dynamic Labels'!$D$1</definedName>
    <definedName name="total_profit">#REF!</definedName>
    <definedName name="trend">#REF!</definedName>
    <definedName name="trendpercent">#REF!</definedName>
    <definedName name="TwoData">'[6]MDS (VRank)'!$F$51:$K$56</definedName>
    <definedName name="TwoDistance">'[6]MDS (Sum)'!$F$42:$K$47</definedName>
    <definedName name="twodistances">[1]MDS!$F$47:$K$52</definedName>
    <definedName name="twodranks">[1]MDS!$F$56:$K$61</definedName>
    <definedName name="TwoRanks">'[6]MDS (Sum)'!$F$51:$K$56</definedName>
    <definedName name="unit_cost">#REF!</definedName>
    <definedName name="unit_cost_A">'[1]Soap A &amp; B'!$W$12</definedName>
    <definedName name="videogame_profit">#REF!</definedName>
    <definedName name="WageHigh">[11]agency!$B$43</definedName>
    <definedName name="Wages">[11]agency!$B$24:$D$24</definedName>
    <definedName name="year_1_margin">'[9]growing margins'!$G$3</definedName>
    <definedName name="year_1_retention">#REF!</definedName>
    <definedName name="Year1sales">'[4]Dynamic Labels'!$D$2</definedName>
  </definedNames>
  <calcPr calcId="191029"/>
  <pivotCaches>
    <pivotCache cacheId="4" r:id="rId1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6" i="4" l="1"/>
  <c r="L24" i="4"/>
  <c r="L20" i="4"/>
  <c r="L13" i="4"/>
  <c r="K11" i="4"/>
  <c r="G22" i="4"/>
  <c r="G19" i="4"/>
  <c r="G15" i="4"/>
  <c r="G11" i="4"/>
  <c r="J12" i="4"/>
  <c r="K22" i="4"/>
  <c r="K18" i="4"/>
  <c r="H14" i="4"/>
  <c r="J15" i="4"/>
  <c r="K15" i="4" s="1"/>
  <c r="J11" i="4"/>
  <c r="J14" i="4"/>
  <c r="K14" i="4" s="1"/>
  <c r="I12" i="4"/>
  <c r="K12" i="4" s="1"/>
  <c r="F23" i="4"/>
  <c r="J23" i="4" s="1"/>
  <c r="K23" i="4" s="1"/>
  <c r="F20" i="4"/>
  <c r="J19" i="4" s="1"/>
  <c r="K19" i="4" s="1"/>
  <c r="F16" i="4"/>
  <c r="F13" i="4"/>
  <c r="J22" i="4"/>
  <c r="H22" i="4"/>
  <c r="J18" i="4"/>
  <c r="H18" i="4"/>
  <c r="H11" i="4"/>
  <c r="I11" i="4"/>
  <c r="D4" i="3"/>
  <c r="D3" i="3"/>
  <c r="D6" i="3"/>
  <c r="D5" i="3"/>
  <c r="H5" i="3"/>
  <c r="H4" i="3"/>
  <c r="H3" i="3"/>
  <c r="B127" i="6"/>
  <c r="B125" i="6"/>
  <c r="F118" i="6"/>
  <c r="E118" i="6"/>
  <c r="D151" i="6"/>
  <c r="D141" i="6"/>
  <c r="D142" i="6"/>
  <c r="D143" i="6"/>
  <c r="D144" i="6"/>
  <c r="D145" i="6"/>
  <c r="D146" i="6"/>
  <c r="D147" i="6"/>
  <c r="D148" i="6"/>
  <c r="D149" i="6"/>
  <c r="D150" i="6"/>
  <c r="C142" i="6"/>
  <c r="C143" i="6"/>
  <c r="C144" i="6"/>
  <c r="C145" i="6"/>
  <c r="C146" i="6"/>
  <c r="C147" i="6"/>
  <c r="C148" i="6"/>
  <c r="C149" i="6"/>
  <c r="C150" i="6"/>
  <c r="C151" i="6"/>
  <c r="C141" i="6"/>
  <c r="B142" i="6"/>
  <c r="B143" i="6"/>
  <c r="B144" i="6"/>
  <c r="B145" i="6"/>
  <c r="B146" i="6"/>
  <c r="B147" i="6"/>
  <c r="B148" i="6"/>
  <c r="B149" i="6"/>
  <c r="B150" i="6"/>
  <c r="B151" i="6"/>
  <c r="B141" i="6"/>
  <c r="F121" i="6"/>
  <c r="F127" i="6"/>
  <c r="F132" i="6"/>
  <c r="F119" i="6"/>
  <c r="F120" i="6"/>
  <c r="F122" i="6"/>
  <c r="F123" i="6"/>
  <c r="F124" i="6"/>
  <c r="F125" i="6"/>
  <c r="F126" i="6"/>
  <c r="F128" i="6"/>
  <c r="F129" i="6"/>
  <c r="F130" i="6"/>
  <c r="F131" i="6"/>
  <c r="F133" i="6"/>
  <c r="F134" i="6"/>
  <c r="F135" i="6"/>
  <c r="F136" i="6"/>
  <c r="F137" i="6"/>
  <c r="E119" i="6"/>
  <c r="B126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C4" i="3" l="1"/>
  <c r="E4" i="3" s="1"/>
  <c r="C3" i="3"/>
  <c r="E3" i="3" s="1"/>
  <c r="C6" i="3"/>
  <c r="E6" i="3" s="1"/>
  <c r="C5" i="3"/>
  <c r="E5" i="3" s="1"/>
  <c r="E7" i="3" l="1"/>
  <c r="AF8" i="6" l="1"/>
  <c r="AZ115" i="6"/>
  <c r="AX115" i="6"/>
  <c r="AZ114" i="6"/>
  <c r="AX114" i="6"/>
  <c r="AZ113" i="6"/>
  <c r="AX113" i="6"/>
  <c r="AZ112" i="6"/>
  <c r="AX112" i="6"/>
  <c r="AZ111" i="6"/>
  <c r="AX111" i="6"/>
  <c r="AZ110" i="6"/>
  <c r="AX110" i="6"/>
  <c r="AZ109" i="6"/>
  <c r="AX109" i="6"/>
  <c r="AZ108" i="6"/>
  <c r="AX108" i="6"/>
  <c r="AZ107" i="6"/>
  <c r="AX107" i="6"/>
  <c r="AZ106" i="6"/>
  <c r="AX106" i="6"/>
  <c r="AZ105" i="6"/>
  <c r="AX105" i="6"/>
  <c r="AZ104" i="6"/>
  <c r="AX104" i="6"/>
  <c r="AZ103" i="6"/>
  <c r="AX103" i="6"/>
  <c r="AZ102" i="6"/>
  <c r="AX102" i="6"/>
  <c r="AZ101" i="6"/>
  <c r="AX101" i="6"/>
  <c r="AZ100" i="6"/>
  <c r="AX100" i="6"/>
  <c r="AZ99" i="6"/>
  <c r="AX99" i="6"/>
  <c r="AZ98" i="6"/>
  <c r="AX98" i="6"/>
  <c r="AZ97" i="6"/>
  <c r="AX97" i="6"/>
  <c r="AZ96" i="6"/>
  <c r="AX96" i="6"/>
  <c r="AZ95" i="6"/>
  <c r="AX95" i="6"/>
  <c r="AZ94" i="6"/>
  <c r="AX94" i="6"/>
  <c r="AZ93" i="6"/>
  <c r="AX93" i="6"/>
  <c r="AZ92" i="6"/>
  <c r="AX92" i="6"/>
  <c r="AZ91" i="6"/>
  <c r="AX91" i="6"/>
  <c r="AZ90" i="6"/>
  <c r="AX90" i="6"/>
  <c r="AZ89" i="6"/>
  <c r="AX89" i="6"/>
  <c r="AZ88" i="6"/>
  <c r="AX88" i="6"/>
  <c r="AZ87" i="6"/>
  <c r="AX87" i="6"/>
  <c r="AZ86" i="6"/>
  <c r="AX86" i="6"/>
  <c r="AZ85" i="6"/>
  <c r="AX85" i="6"/>
  <c r="AZ84" i="6"/>
  <c r="AX84" i="6"/>
  <c r="AZ83" i="6"/>
  <c r="AX83" i="6"/>
  <c r="AZ82" i="6"/>
  <c r="AX82" i="6"/>
  <c r="AZ81" i="6"/>
  <c r="AX81" i="6"/>
  <c r="AZ80" i="6"/>
  <c r="AX80" i="6"/>
  <c r="AZ79" i="6"/>
  <c r="AX79" i="6"/>
  <c r="AZ78" i="6"/>
  <c r="AX78" i="6"/>
  <c r="AZ77" i="6"/>
  <c r="AX77" i="6"/>
  <c r="AZ76" i="6"/>
  <c r="AX76" i="6"/>
  <c r="AZ75" i="6"/>
  <c r="AX75" i="6"/>
  <c r="AZ74" i="6"/>
  <c r="AX74" i="6"/>
  <c r="AZ73" i="6"/>
  <c r="AX73" i="6"/>
  <c r="AZ72" i="6"/>
  <c r="AX72" i="6"/>
  <c r="AZ71" i="6"/>
  <c r="AX71" i="6"/>
  <c r="AZ70" i="6"/>
  <c r="BA70" i="6" s="1"/>
  <c r="BB70" i="6" s="1"/>
  <c r="AX70" i="6"/>
  <c r="AZ69" i="6"/>
  <c r="AX69" i="6"/>
  <c r="AZ68" i="6"/>
  <c r="AX68" i="6"/>
  <c r="AZ67" i="6"/>
  <c r="AX67" i="6"/>
  <c r="AZ66" i="6"/>
  <c r="AX66" i="6"/>
  <c r="AZ65" i="6"/>
  <c r="AX65" i="6"/>
  <c r="AZ64" i="6"/>
  <c r="AX64" i="6"/>
  <c r="AZ63" i="6"/>
  <c r="AX63" i="6"/>
  <c r="AZ62" i="6"/>
  <c r="AX62" i="6"/>
  <c r="AZ61" i="6"/>
  <c r="AX61" i="6"/>
  <c r="AZ60" i="6"/>
  <c r="AX60" i="6"/>
  <c r="AZ59" i="6"/>
  <c r="AX59" i="6"/>
  <c r="AZ58" i="6"/>
  <c r="AX58" i="6"/>
  <c r="AZ57" i="6"/>
  <c r="AX57" i="6"/>
  <c r="AZ56" i="6"/>
  <c r="AX56" i="6"/>
  <c r="AZ55" i="6"/>
  <c r="AX55" i="6"/>
  <c r="AZ54" i="6"/>
  <c r="AX54" i="6"/>
  <c r="AZ53" i="6"/>
  <c r="AX53" i="6"/>
  <c r="AZ52" i="6"/>
  <c r="AX52" i="6"/>
  <c r="AZ51" i="6"/>
  <c r="AX51" i="6"/>
  <c r="AZ50" i="6"/>
  <c r="AX50" i="6"/>
  <c r="AZ49" i="6"/>
  <c r="AX49" i="6"/>
  <c r="AZ48" i="6"/>
  <c r="AX48" i="6"/>
  <c r="AZ47" i="6"/>
  <c r="AX47" i="6"/>
  <c r="AZ46" i="6"/>
  <c r="BA46" i="6" s="1"/>
  <c r="BB46" i="6" s="1"/>
  <c r="AX46" i="6"/>
  <c r="AZ45" i="6"/>
  <c r="AX45" i="6"/>
  <c r="AZ44" i="6"/>
  <c r="AX44" i="6"/>
  <c r="AZ43" i="6"/>
  <c r="AX43" i="6"/>
  <c r="AZ42" i="6"/>
  <c r="AX42" i="6"/>
  <c r="AZ41" i="6"/>
  <c r="AX41" i="6"/>
  <c r="AZ40" i="6"/>
  <c r="AX40" i="6"/>
  <c r="AZ39" i="6"/>
  <c r="AX39" i="6"/>
  <c r="AZ38" i="6"/>
  <c r="AX38" i="6"/>
  <c r="AZ37" i="6"/>
  <c r="AX37" i="6"/>
  <c r="AZ36" i="6"/>
  <c r="AX36" i="6"/>
  <c r="AZ35" i="6"/>
  <c r="AX35" i="6"/>
  <c r="AZ34" i="6"/>
  <c r="AX34" i="6"/>
  <c r="AZ33" i="6"/>
  <c r="AX33" i="6"/>
  <c r="AZ32" i="6"/>
  <c r="AX32" i="6"/>
  <c r="AZ31" i="6"/>
  <c r="AX31" i="6"/>
  <c r="AZ30" i="6"/>
  <c r="AX30" i="6"/>
  <c r="AZ29" i="6"/>
  <c r="AX29" i="6"/>
  <c r="AZ28" i="6"/>
  <c r="AX28" i="6"/>
  <c r="AZ27" i="6"/>
  <c r="AX27" i="6"/>
  <c r="AZ26" i="6"/>
  <c r="AX26" i="6"/>
  <c r="AZ25" i="6"/>
  <c r="AX25" i="6"/>
  <c r="AZ24" i="6"/>
  <c r="AX24" i="6"/>
  <c r="AZ23" i="6"/>
  <c r="AX23" i="6"/>
  <c r="AZ22" i="6"/>
  <c r="AX22" i="6"/>
  <c r="AZ21" i="6"/>
  <c r="AX21" i="6"/>
  <c r="AZ20" i="6"/>
  <c r="AX20" i="6"/>
  <c r="AZ19" i="6"/>
  <c r="AX19" i="6"/>
  <c r="AZ18" i="6"/>
  <c r="AX18" i="6"/>
  <c r="AZ17" i="6"/>
  <c r="AX17" i="6"/>
  <c r="AZ16" i="6"/>
  <c r="AX16" i="6"/>
  <c r="AZ15" i="6"/>
  <c r="AX15" i="6"/>
  <c r="AZ14" i="6"/>
  <c r="AX14" i="6"/>
  <c r="AZ13" i="6"/>
  <c r="AX13" i="6"/>
  <c r="AZ12" i="6"/>
  <c r="AX12" i="6"/>
  <c r="AZ11" i="6"/>
  <c r="AX11" i="6"/>
  <c r="AZ10" i="6"/>
  <c r="AX10" i="6"/>
  <c r="AZ9" i="6"/>
  <c r="AX9" i="6"/>
  <c r="AZ8" i="6"/>
  <c r="AX8" i="6"/>
  <c r="AC8" i="6"/>
  <c r="AE8" i="6"/>
  <c r="I60" i="6"/>
  <c r="AS115" i="6"/>
  <c r="AQ115" i="6"/>
  <c r="AS114" i="6"/>
  <c r="AQ114" i="6"/>
  <c r="AS113" i="6"/>
  <c r="AT113" i="6" s="1"/>
  <c r="AQ113" i="6"/>
  <c r="AS112" i="6"/>
  <c r="AT112" i="6" s="1"/>
  <c r="AQ112" i="6"/>
  <c r="AS111" i="6"/>
  <c r="AQ111" i="6"/>
  <c r="AS110" i="6"/>
  <c r="AT110" i="6" s="1"/>
  <c r="AQ110" i="6"/>
  <c r="AS109" i="6"/>
  <c r="AQ109" i="6"/>
  <c r="AS108" i="6"/>
  <c r="AT108" i="6" s="1"/>
  <c r="AQ108" i="6"/>
  <c r="AS107" i="6"/>
  <c r="AQ107" i="6"/>
  <c r="AT107" i="6" s="1"/>
  <c r="AS106" i="6"/>
  <c r="AQ106" i="6"/>
  <c r="AS105" i="6"/>
  <c r="AT105" i="6" s="1"/>
  <c r="AQ105" i="6"/>
  <c r="AS104" i="6"/>
  <c r="AQ104" i="6"/>
  <c r="AS103" i="6"/>
  <c r="AQ103" i="6"/>
  <c r="AS102" i="6"/>
  <c r="AT102" i="6" s="1"/>
  <c r="AQ102" i="6"/>
  <c r="AS101" i="6"/>
  <c r="AT101" i="6" s="1"/>
  <c r="AQ101" i="6"/>
  <c r="AS100" i="6"/>
  <c r="AQ100" i="6"/>
  <c r="AS99" i="6"/>
  <c r="AQ99" i="6"/>
  <c r="AT99" i="6" s="1"/>
  <c r="AS98" i="6"/>
  <c r="AQ98" i="6"/>
  <c r="AS97" i="6"/>
  <c r="AQ97" i="6"/>
  <c r="AT97" i="6" s="1"/>
  <c r="AS96" i="6"/>
  <c r="AQ96" i="6"/>
  <c r="AS95" i="6"/>
  <c r="AQ95" i="6"/>
  <c r="AT94" i="6"/>
  <c r="AS94" i="6"/>
  <c r="AQ94" i="6"/>
  <c r="AS93" i="6"/>
  <c r="AQ93" i="6"/>
  <c r="AS92" i="6"/>
  <c r="AQ92" i="6"/>
  <c r="AS91" i="6"/>
  <c r="AQ91" i="6"/>
  <c r="AT91" i="6" s="1"/>
  <c r="AS90" i="6"/>
  <c r="AT90" i="6" s="1"/>
  <c r="AQ90" i="6"/>
  <c r="AS89" i="6"/>
  <c r="AT89" i="6" s="1"/>
  <c r="AQ89" i="6"/>
  <c r="AS88" i="6"/>
  <c r="AQ88" i="6"/>
  <c r="AS87" i="6"/>
  <c r="AT87" i="6" s="1"/>
  <c r="AQ87" i="6"/>
  <c r="AS86" i="6"/>
  <c r="AT86" i="6" s="1"/>
  <c r="AQ86" i="6"/>
  <c r="AS85" i="6"/>
  <c r="AQ85" i="6"/>
  <c r="AS84" i="6"/>
  <c r="AQ84" i="6"/>
  <c r="AS83" i="6"/>
  <c r="AQ83" i="6"/>
  <c r="AS82" i="6"/>
  <c r="AQ82" i="6"/>
  <c r="AS81" i="6"/>
  <c r="AT81" i="6" s="1"/>
  <c r="AQ81" i="6"/>
  <c r="AS80" i="6"/>
  <c r="AT80" i="6" s="1"/>
  <c r="AQ80" i="6"/>
  <c r="AS79" i="6"/>
  <c r="AQ79" i="6"/>
  <c r="AS78" i="6"/>
  <c r="AT78" i="6" s="1"/>
  <c r="AQ78" i="6"/>
  <c r="AS77" i="6"/>
  <c r="AQ77" i="6"/>
  <c r="AS76" i="6"/>
  <c r="AT76" i="6" s="1"/>
  <c r="AQ76" i="6"/>
  <c r="AS75" i="6"/>
  <c r="AQ75" i="6"/>
  <c r="AT75" i="6" s="1"/>
  <c r="AS74" i="6"/>
  <c r="AQ74" i="6"/>
  <c r="AS73" i="6"/>
  <c r="AT73" i="6" s="1"/>
  <c r="AQ73" i="6"/>
  <c r="AS72" i="6"/>
  <c r="AQ72" i="6"/>
  <c r="AS71" i="6"/>
  <c r="AQ71" i="6"/>
  <c r="AS70" i="6"/>
  <c r="AT70" i="6" s="1"/>
  <c r="AQ70" i="6"/>
  <c r="AS69" i="6"/>
  <c r="AQ69" i="6"/>
  <c r="AS68" i="6"/>
  <c r="AQ68" i="6"/>
  <c r="AS67" i="6"/>
  <c r="AQ67" i="6"/>
  <c r="AT67" i="6" s="1"/>
  <c r="AS66" i="6"/>
  <c r="AQ66" i="6"/>
  <c r="AS65" i="6"/>
  <c r="AQ65" i="6"/>
  <c r="AT65" i="6" s="1"/>
  <c r="AS64" i="6"/>
  <c r="AQ64" i="6"/>
  <c r="AS63" i="6"/>
  <c r="AQ63" i="6"/>
  <c r="AT62" i="6"/>
  <c r="AS62" i="6"/>
  <c r="AQ62" i="6"/>
  <c r="AS61" i="6"/>
  <c r="AQ61" i="6"/>
  <c r="AS60" i="6"/>
  <c r="AQ60" i="6"/>
  <c r="AS59" i="6"/>
  <c r="AQ59" i="6"/>
  <c r="AT59" i="6" s="1"/>
  <c r="AS58" i="6"/>
  <c r="AT58" i="6" s="1"/>
  <c r="AQ58" i="6"/>
  <c r="AS57" i="6"/>
  <c r="AT57" i="6" s="1"/>
  <c r="AQ57" i="6"/>
  <c r="AS56" i="6"/>
  <c r="AQ56" i="6"/>
  <c r="AS55" i="6"/>
  <c r="AT55" i="6" s="1"/>
  <c r="AQ55" i="6"/>
  <c r="AS54" i="6"/>
  <c r="AT54" i="6" s="1"/>
  <c r="AQ54" i="6"/>
  <c r="AS53" i="6"/>
  <c r="AQ53" i="6"/>
  <c r="AS52" i="6"/>
  <c r="AQ52" i="6"/>
  <c r="AS51" i="6"/>
  <c r="AQ51" i="6"/>
  <c r="AS50" i="6"/>
  <c r="AQ50" i="6"/>
  <c r="AS49" i="6"/>
  <c r="AT49" i="6" s="1"/>
  <c r="AQ49" i="6"/>
  <c r="AS48" i="6"/>
  <c r="AT48" i="6" s="1"/>
  <c r="AQ48" i="6"/>
  <c r="AS47" i="6"/>
  <c r="AQ47" i="6"/>
  <c r="AS46" i="6"/>
  <c r="AT46" i="6" s="1"/>
  <c r="AQ46" i="6"/>
  <c r="AS45" i="6"/>
  <c r="AQ45" i="6"/>
  <c r="AS44" i="6"/>
  <c r="AQ44" i="6"/>
  <c r="AS43" i="6"/>
  <c r="AQ43" i="6"/>
  <c r="AT43" i="6" s="1"/>
  <c r="AS42" i="6"/>
  <c r="AQ42" i="6"/>
  <c r="AS41" i="6"/>
  <c r="AT41" i="6" s="1"/>
  <c r="AQ41" i="6"/>
  <c r="AS40" i="6"/>
  <c r="AQ40" i="6"/>
  <c r="AS39" i="6"/>
  <c r="AQ39" i="6"/>
  <c r="AS38" i="6"/>
  <c r="AT38" i="6" s="1"/>
  <c r="AQ38" i="6"/>
  <c r="AS37" i="6"/>
  <c r="AQ37" i="6"/>
  <c r="AS36" i="6"/>
  <c r="AQ36" i="6"/>
  <c r="AS35" i="6"/>
  <c r="AQ35" i="6"/>
  <c r="AT35" i="6" s="1"/>
  <c r="AS34" i="6"/>
  <c r="AQ34" i="6"/>
  <c r="AS33" i="6"/>
  <c r="AT33" i="6" s="1"/>
  <c r="AQ33" i="6"/>
  <c r="AS32" i="6"/>
  <c r="AQ32" i="6"/>
  <c r="AS31" i="6"/>
  <c r="AQ31" i="6"/>
  <c r="AT30" i="6"/>
  <c r="AS30" i="6"/>
  <c r="AQ30" i="6"/>
  <c r="AS29" i="6"/>
  <c r="AQ29" i="6"/>
  <c r="AS28" i="6"/>
  <c r="AQ28" i="6"/>
  <c r="AS27" i="6"/>
  <c r="AQ27" i="6"/>
  <c r="AT27" i="6" s="1"/>
  <c r="AS26" i="6"/>
  <c r="AQ26" i="6"/>
  <c r="AS25" i="6"/>
  <c r="AT25" i="6" s="1"/>
  <c r="AQ25" i="6"/>
  <c r="AS24" i="6"/>
  <c r="AQ24" i="6"/>
  <c r="AS23" i="6"/>
  <c r="AT23" i="6" s="1"/>
  <c r="AQ23" i="6"/>
  <c r="AS22" i="6"/>
  <c r="AT22" i="6" s="1"/>
  <c r="AQ22" i="6"/>
  <c r="AS21" i="6"/>
  <c r="AQ21" i="6"/>
  <c r="AS20" i="6"/>
  <c r="AQ20" i="6"/>
  <c r="AS19" i="6"/>
  <c r="AQ19" i="6"/>
  <c r="AT19" i="6" s="1"/>
  <c r="AS18" i="6"/>
  <c r="AQ18" i="6"/>
  <c r="AS17" i="6"/>
  <c r="AT17" i="6" s="1"/>
  <c r="AQ17" i="6"/>
  <c r="AS16" i="6"/>
  <c r="AT16" i="6" s="1"/>
  <c r="AQ16" i="6"/>
  <c r="AS15" i="6"/>
  <c r="AQ15" i="6"/>
  <c r="AS14" i="6"/>
  <c r="AT14" i="6" s="1"/>
  <c r="AQ14" i="6"/>
  <c r="AS13" i="6"/>
  <c r="AQ13" i="6"/>
  <c r="AS12" i="6"/>
  <c r="AQ12" i="6"/>
  <c r="AS11" i="6"/>
  <c r="AQ11" i="6"/>
  <c r="AT11" i="6" s="1"/>
  <c r="AS10" i="6"/>
  <c r="AQ10" i="6"/>
  <c r="AS9" i="6"/>
  <c r="AT9" i="6" s="1"/>
  <c r="AQ9" i="6"/>
  <c r="AS8" i="6"/>
  <c r="AQ8" i="6"/>
  <c r="AL115" i="6"/>
  <c r="AM115" i="6" s="1"/>
  <c r="AJ115" i="6"/>
  <c r="AL114" i="6"/>
  <c r="AJ114" i="6"/>
  <c r="AL113" i="6"/>
  <c r="AM113" i="6" s="1"/>
  <c r="AJ113" i="6"/>
  <c r="AL112" i="6"/>
  <c r="AM112" i="6" s="1"/>
  <c r="AJ112" i="6"/>
  <c r="AL111" i="6"/>
  <c r="AJ111" i="6"/>
  <c r="AL110" i="6"/>
  <c r="AJ110" i="6"/>
  <c r="AL109" i="6"/>
  <c r="AJ109" i="6"/>
  <c r="AL108" i="6"/>
  <c r="AM108" i="6" s="1"/>
  <c r="AJ108" i="6"/>
  <c r="AL107" i="6"/>
  <c r="AJ107" i="6"/>
  <c r="AL106" i="6"/>
  <c r="AJ106" i="6"/>
  <c r="AL105" i="6"/>
  <c r="AM105" i="6" s="1"/>
  <c r="AJ105" i="6"/>
  <c r="AL104" i="6"/>
  <c r="AJ104" i="6"/>
  <c r="AL103" i="6"/>
  <c r="AJ103" i="6"/>
  <c r="AL102" i="6"/>
  <c r="AJ102" i="6"/>
  <c r="AL101" i="6"/>
  <c r="AJ101" i="6"/>
  <c r="AL100" i="6"/>
  <c r="AM100" i="6" s="1"/>
  <c r="AJ100" i="6"/>
  <c r="AL99" i="6"/>
  <c r="AJ99" i="6"/>
  <c r="AL98" i="6"/>
  <c r="AJ98" i="6"/>
  <c r="AL97" i="6"/>
  <c r="AM97" i="6" s="1"/>
  <c r="AJ97" i="6"/>
  <c r="AL96" i="6"/>
  <c r="AJ96" i="6"/>
  <c r="AL95" i="6"/>
  <c r="AJ95" i="6"/>
  <c r="AL94" i="6"/>
  <c r="AJ94" i="6"/>
  <c r="AL93" i="6"/>
  <c r="AM93" i="6" s="1"/>
  <c r="AJ93" i="6"/>
  <c r="AL92" i="6"/>
  <c r="AJ92" i="6"/>
  <c r="AL91" i="6"/>
  <c r="AJ91" i="6"/>
  <c r="AL90" i="6"/>
  <c r="AJ90" i="6"/>
  <c r="AM89" i="6"/>
  <c r="AL89" i="6"/>
  <c r="AJ89" i="6"/>
  <c r="AL88" i="6"/>
  <c r="AJ88" i="6"/>
  <c r="AL87" i="6"/>
  <c r="AJ87" i="6"/>
  <c r="AL86" i="6"/>
  <c r="AJ86" i="6"/>
  <c r="AL85" i="6"/>
  <c r="AM85" i="6" s="1"/>
  <c r="AJ85" i="6"/>
  <c r="AL84" i="6"/>
  <c r="AJ84" i="6"/>
  <c r="AL83" i="6"/>
  <c r="AJ83" i="6"/>
  <c r="AL82" i="6"/>
  <c r="AJ82" i="6"/>
  <c r="AL81" i="6"/>
  <c r="AJ81" i="6"/>
  <c r="AM81" i="6" s="1"/>
  <c r="AL80" i="6"/>
  <c r="AJ80" i="6"/>
  <c r="AL79" i="6"/>
  <c r="AJ79" i="6"/>
  <c r="AL78" i="6"/>
  <c r="AM78" i="6" s="1"/>
  <c r="AJ78" i="6"/>
  <c r="AL77" i="6"/>
  <c r="AJ77" i="6"/>
  <c r="AL76" i="6"/>
  <c r="AJ76" i="6"/>
  <c r="AL75" i="6"/>
  <c r="AJ75" i="6"/>
  <c r="AL74" i="6"/>
  <c r="AM74" i="6" s="1"/>
  <c r="AJ74" i="6"/>
  <c r="AL73" i="6"/>
  <c r="AM73" i="6" s="1"/>
  <c r="AJ73" i="6"/>
  <c r="AL72" i="6"/>
  <c r="AJ72" i="6"/>
  <c r="AL71" i="6"/>
  <c r="AJ71" i="6"/>
  <c r="AL70" i="6"/>
  <c r="AJ70" i="6"/>
  <c r="AL69" i="6"/>
  <c r="AJ69" i="6"/>
  <c r="AL68" i="6"/>
  <c r="AJ68" i="6"/>
  <c r="AL67" i="6"/>
  <c r="AJ67" i="6"/>
  <c r="AL66" i="6"/>
  <c r="AM66" i="6" s="1"/>
  <c r="AJ66" i="6"/>
  <c r="AL65" i="6"/>
  <c r="AM65" i="6" s="1"/>
  <c r="AJ65" i="6"/>
  <c r="AL64" i="6"/>
  <c r="AJ64" i="6"/>
  <c r="AL63" i="6"/>
  <c r="AM63" i="6" s="1"/>
  <c r="AJ63" i="6"/>
  <c r="AL62" i="6"/>
  <c r="AJ62" i="6"/>
  <c r="AL61" i="6"/>
  <c r="AJ61" i="6"/>
  <c r="AL60" i="6"/>
  <c r="AJ60" i="6"/>
  <c r="AL59" i="6"/>
  <c r="AM59" i="6" s="1"/>
  <c r="AJ59" i="6"/>
  <c r="AL58" i="6"/>
  <c r="AJ58" i="6"/>
  <c r="AL57" i="6"/>
  <c r="AM57" i="6" s="1"/>
  <c r="AJ57" i="6"/>
  <c r="AL56" i="6"/>
  <c r="AJ56" i="6"/>
  <c r="AL55" i="6"/>
  <c r="AJ55" i="6"/>
  <c r="AL54" i="6"/>
  <c r="AJ54" i="6"/>
  <c r="AL53" i="6"/>
  <c r="AJ53" i="6"/>
  <c r="AL52" i="6"/>
  <c r="AJ52" i="6"/>
  <c r="AL51" i="6"/>
  <c r="AJ51" i="6"/>
  <c r="AL50" i="6"/>
  <c r="AJ50" i="6"/>
  <c r="AL49" i="6"/>
  <c r="AM49" i="6" s="1"/>
  <c r="AJ49" i="6"/>
  <c r="AL48" i="6"/>
  <c r="AM48" i="6" s="1"/>
  <c r="AJ48" i="6"/>
  <c r="AL47" i="6"/>
  <c r="AJ47" i="6"/>
  <c r="AL46" i="6"/>
  <c r="AJ46" i="6"/>
  <c r="AL45" i="6"/>
  <c r="AJ45" i="6"/>
  <c r="AL44" i="6"/>
  <c r="AM44" i="6" s="1"/>
  <c r="AJ44" i="6"/>
  <c r="AL43" i="6"/>
  <c r="AJ43" i="6"/>
  <c r="AL42" i="6"/>
  <c r="AJ42" i="6"/>
  <c r="AL41" i="6"/>
  <c r="AM41" i="6" s="1"/>
  <c r="AJ41" i="6"/>
  <c r="AL40" i="6"/>
  <c r="AJ40" i="6"/>
  <c r="AL39" i="6"/>
  <c r="AJ39" i="6"/>
  <c r="AL38" i="6"/>
  <c r="AJ38" i="6"/>
  <c r="AL37" i="6"/>
  <c r="AJ37" i="6"/>
  <c r="AL36" i="6"/>
  <c r="AJ36" i="6"/>
  <c r="AL35" i="6"/>
  <c r="AJ35" i="6"/>
  <c r="AL34" i="6"/>
  <c r="AJ34" i="6"/>
  <c r="AL33" i="6"/>
  <c r="AM33" i="6" s="1"/>
  <c r="AJ33" i="6"/>
  <c r="AL32" i="6"/>
  <c r="AJ32" i="6"/>
  <c r="AL31" i="6"/>
  <c r="AJ31" i="6"/>
  <c r="AL30" i="6"/>
  <c r="AJ30" i="6"/>
  <c r="AL29" i="6"/>
  <c r="AM29" i="6" s="1"/>
  <c r="AJ29" i="6"/>
  <c r="AL28" i="6"/>
  <c r="AJ28" i="6"/>
  <c r="AL27" i="6"/>
  <c r="AJ27" i="6"/>
  <c r="AL26" i="6"/>
  <c r="AJ26" i="6"/>
  <c r="AM25" i="6"/>
  <c r="AL25" i="6"/>
  <c r="AJ25" i="6"/>
  <c r="AL24" i="6"/>
  <c r="AJ24" i="6"/>
  <c r="AL23" i="6"/>
  <c r="AJ23" i="6"/>
  <c r="AL22" i="6"/>
  <c r="AJ22" i="6"/>
  <c r="AL21" i="6"/>
  <c r="AJ21" i="6"/>
  <c r="AL20" i="6"/>
  <c r="AJ20" i="6"/>
  <c r="AL19" i="6"/>
  <c r="AJ19" i="6"/>
  <c r="AL18" i="6"/>
  <c r="AJ18" i="6"/>
  <c r="AL17" i="6"/>
  <c r="AJ17" i="6"/>
  <c r="AM17" i="6" s="1"/>
  <c r="AL16" i="6"/>
  <c r="AJ16" i="6"/>
  <c r="AL15" i="6"/>
  <c r="AJ15" i="6"/>
  <c r="AL14" i="6"/>
  <c r="AM14" i="6" s="1"/>
  <c r="AJ14" i="6"/>
  <c r="AL13" i="6"/>
  <c r="AJ13" i="6"/>
  <c r="AL12" i="6"/>
  <c r="AJ12" i="6"/>
  <c r="AL11" i="6"/>
  <c r="AJ11" i="6"/>
  <c r="AL10" i="6"/>
  <c r="AM10" i="6" s="1"/>
  <c r="AJ10" i="6"/>
  <c r="AL9" i="6"/>
  <c r="AM9" i="6" s="1"/>
  <c r="AJ9" i="6"/>
  <c r="AL8" i="6"/>
  <c r="AJ8" i="6"/>
  <c r="AC14" i="6"/>
  <c r="AC100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E33" i="6"/>
  <c r="AE34" i="6"/>
  <c r="AE35" i="6"/>
  <c r="AE36" i="6"/>
  <c r="AE37" i="6"/>
  <c r="AE38" i="6"/>
  <c r="AE39" i="6"/>
  <c r="AE40" i="6"/>
  <c r="AE41" i="6"/>
  <c r="AE42" i="6"/>
  <c r="AE43" i="6"/>
  <c r="AE44" i="6"/>
  <c r="AE45" i="6"/>
  <c r="AE46" i="6"/>
  <c r="AE47" i="6"/>
  <c r="AE48" i="6"/>
  <c r="AE49" i="6"/>
  <c r="AE50" i="6"/>
  <c r="AE51" i="6"/>
  <c r="AE52" i="6"/>
  <c r="AE53" i="6"/>
  <c r="AE54" i="6"/>
  <c r="AE55" i="6"/>
  <c r="AE56" i="6"/>
  <c r="AE57" i="6"/>
  <c r="AE58" i="6"/>
  <c r="AE59" i="6"/>
  <c r="AE60" i="6"/>
  <c r="AE61" i="6"/>
  <c r="AE62" i="6"/>
  <c r="AE63" i="6"/>
  <c r="AE64" i="6"/>
  <c r="AE65" i="6"/>
  <c r="AE66" i="6"/>
  <c r="AE67" i="6"/>
  <c r="AE68" i="6"/>
  <c r="AE69" i="6"/>
  <c r="AE70" i="6"/>
  <c r="AE71" i="6"/>
  <c r="AE72" i="6"/>
  <c r="AE73" i="6"/>
  <c r="AE74" i="6"/>
  <c r="AE75" i="6"/>
  <c r="AE76" i="6"/>
  <c r="AE77" i="6"/>
  <c r="AE78" i="6"/>
  <c r="AE79" i="6"/>
  <c r="AE80" i="6"/>
  <c r="AE81" i="6"/>
  <c r="AE82" i="6"/>
  <c r="AE83" i="6"/>
  <c r="AE84" i="6"/>
  <c r="AE85" i="6"/>
  <c r="AE86" i="6"/>
  <c r="AE87" i="6"/>
  <c r="AE88" i="6"/>
  <c r="AE89" i="6"/>
  <c r="AE90" i="6"/>
  <c r="AE91" i="6"/>
  <c r="AE92" i="6"/>
  <c r="AE93" i="6"/>
  <c r="AE94" i="6"/>
  <c r="AE95" i="6"/>
  <c r="AE96" i="6"/>
  <c r="AE97" i="6"/>
  <c r="AE98" i="6"/>
  <c r="AE99" i="6"/>
  <c r="AE100" i="6"/>
  <c r="AE101" i="6"/>
  <c r="AE102" i="6"/>
  <c r="AE103" i="6"/>
  <c r="AE104" i="6"/>
  <c r="AE105" i="6"/>
  <c r="AE106" i="6"/>
  <c r="AE107" i="6"/>
  <c r="AE108" i="6"/>
  <c r="AE109" i="6"/>
  <c r="AE110" i="6"/>
  <c r="AE111" i="6"/>
  <c r="AE112" i="6"/>
  <c r="AE113" i="6"/>
  <c r="AE114" i="6"/>
  <c r="AE115" i="6"/>
  <c r="AC9" i="6"/>
  <c r="AC10" i="6"/>
  <c r="AC11" i="6"/>
  <c r="AC12" i="6"/>
  <c r="AC13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C33" i="6"/>
  <c r="AC34" i="6"/>
  <c r="AC35" i="6"/>
  <c r="AC36" i="6"/>
  <c r="AC37" i="6"/>
  <c r="AC38" i="6"/>
  <c r="AC39" i="6"/>
  <c r="AC40" i="6"/>
  <c r="AC41" i="6"/>
  <c r="AC42" i="6"/>
  <c r="AC43" i="6"/>
  <c r="AC44" i="6"/>
  <c r="AC45" i="6"/>
  <c r="AC46" i="6"/>
  <c r="AC47" i="6"/>
  <c r="AC48" i="6"/>
  <c r="AC49" i="6"/>
  <c r="AC50" i="6"/>
  <c r="AC51" i="6"/>
  <c r="AC52" i="6"/>
  <c r="AC53" i="6"/>
  <c r="AC54" i="6"/>
  <c r="AC55" i="6"/>
  <c r="AC56" i="6"/>
  <c r="AC57" i="6"/>
  <c r="AC58" i="6"/>
  <c r="AC59" i="6"/>
  <c r="AC60" i="6"/>
  <c r="AC61" i="6"/>
  <c r="AC62" i="6"/>
  <c r="AC63" i="6"/>
  <c r="AC64" i="6"/>
  <c r="AC65" i="6"/>
  <c r="AC66" i="6"/>
  <c r="AC67" i="6"/>
  <c r="AC68" i="6"/>
  <c r="AC69" i="6"/>
  <c r="AC70" i="6"/>
  <c r="AC71" i="6"/>
  <c r="AC72" i="6"/>
  <c r="AC73" i="6"/>
  <c r="AC74" i="6"/>
  <c r="AC75" i="6"/>
  <c r="AC76" i="6"/>
  <c r="AC77" i="6"/>
  <c r="AC78" i="6"/>
  <c r="AC79" i="6"/>
  <c r="AC80" i="6"/>
  <c r="AC81" i="6"/>
  <c r="AC82" i="6"/>
  <c r="AC83" i="6"/>
  <c r="AC84" i="6"/>
  <c r="AC85" i="6"/>
  <c r="AC86" i="6"/>
  <c r="AC87" i="6"/>
  <c r="AC88" i="6"/>
  <c r="AC89" i="6"/>
  <c r="AC90" i="6"/>
  <c r="AC91" i="6"/>
  <c r="AC92" i="6"/>
  <c r="AC93" i="6"/>
  <c r="AC94" i="6"/>
  <c r="AC95" i="6"/>
  <c r="AC96" i="6"/>
  <c r="AC97" i="6"/>
  <c r="AC98" i="6"/>
  <c r="AC99" i="6"/>
  <c r="AC101" i="6"/>
  <c r="AC102" i="6"/>
  <c r="AC103" i="6"/>
  <c r="AC104" i="6"/>
  <c r="AC105" i="6"/>
  <c r="AC106" i="6"/>
  <c r="AC107" i="6"/>
  <c r="AC108" i="6"/>
  <c r="AC109" i="6"/>
  <c r="AC110" i="6"/>
  <c r="AC111" i="6"/>
  <c r="AC112" i="6"/>
  <c r="AC113" i="6"/>
  <c r="AC114" i="6"/>
  <c r="AC115" i="6"/>
  <c r="T28" i="6"/>
  <c r="T27" i="6"/>
  <c r="T29" i="6"/>
  <c r="BA115" i="6" l="1"/>
  <c r="BB115" i="6" s="1"/>
  <c r="BA102" i="6"/>
  <c r="BB102" i="6" s="1"/>
  <c r="BA97" i="6"/>
  <c r="BB97" i="6" s="1"/>
  <c r="BA89" i="6"/>
  <c r="BB89" i="6" s="1"/>
  <c r="BA81" i="6"/>
  <c r="BB81" i="6" s="1"/>
  <c r="BA63" i="6"/>
  <c r="BB63" i="6" s="1"/>
  <c r="BA43" i="6"/>
  <c r="BB43" i="6" s="1"/>
  <c r="BA23" i="6"/>
  <c r="BB23" i="6" s="1"/>
  <c r="BA9" i="6"/>
  <c r="BB9" i="6" s="1"/>
  <c r="BA33" i="6"/>
  <c r="BB33" i="6" s="1"/>
  <c r="BA41" i="6"/>
  <c r="BB41" i="6" s="1"/>
  <c r="BA61" i="6"/>
  <c r="BB61" i="6" s="1"/>
  <c r="BA84" i="6"/>
  <c r="BB84" i="6" s="1"/>
  <c r="BA38" i="6"/>
  <c r="BB38" i="6" s="1"/>
  <c r="BA88" i="6"/>
  <c r="BB88" i="6" s="1"/>
  <c r="BA66" i="6"/>
  <c r="BB66" i="6" s="1"/>
  <c r="BA109" i="6"/>
  <c r="BB109" i="6" s="1"/>
  <c r="BA113" i="6"/>
  <c r="BB113" i="6" s="1"/>
  <c r="BA25" i="6"/>
  <c r="BB25" i="6" s="1"/>
  <c r="BA62" i="6"/>
  <c r="BB62" i="6" s="1"/>
  <c r="BA78" i="6"/>
  <c r="BB78" i="6" s="1"/>
  <c r="BA17" i="6"/>
  <c r="BB17" i="6" s="1"/>
  <c r="BA50" i="6"/>
  <c r="BB50" i="6" s="1"/>
  <c r="BA54" i="6"/>
  <c r="BB54" i="6" s="1"/>
  <c r="BA110" i="6"/>
  <c r="BB110" i="6" s="1"/>
  <c r="BA24" i="6"/>
  <c r="BB24" i="6" s="1"/>
  <c r="BA75" i="6"/>
  <c r="BB75" i="6" s="1"/>
  <c r="BA91" i="6"/>
  <c r="BB91" i="6" s="1"/>
  <c r="BA95" i="6"/>
  <c r="BB95" i="6" s="1"/>
  <c r="BA56" i="6"/>
  <c r="BB56" i="6" s="1"/>
  <c r="BA68" i="6"/>
  <c r="BB68" i="6" s="1"/>
  <c r="BA111" i="6"/>
  <c r="BB111" i="6" s="1"/>
  <c r="BA57" i="6"/>
  <c r="BB57" i="6" s="1"/>
  <c r="BA49" i="6"/>
  <c r="BB49" i="6" s="1"/>
  <c r="BA65" i="6"/>
  <c r="BB65" i="6" s="1"/>
  <c r="BA73" i="6"/>
  <c r="BB73" i="6" s="1"/>
  <c r="BA104" i="6"/>
  <c r="BB104" i="6" s="1"/>
  <c r="BA16" i="6"/>
  <c r="BB16" i="6" s="1"/>
  <c r="BA14" i="6"/>
  <c r="BB14" i="6" s="1"/>
  <c r="BA22" i="6"/>
  <c r="BB22" i="6" s="1"/>
  <c r="BA30" i="6"/>
  <c r="BB30" i="6" s="1"/>
  <c r="BA105" i="6"/>
  <c r="BB105" i="6" s="1"/>
  <c r="BA31" i="6"/>
  <c r="BB31" i="6" s="1"/>
  <c r="BA82" i="6"/>
  <c r="BB82" i="6" s="1"/>
  <c r="BA86" i="6"/>
  <c r="BB86" i="6" s="1"/>
  <c r="BA94" i="6"/>
  <c r="BB94" i="6" s="1"/>
  <c r="BA98" i="6"/>
  <c r="BB98" i="6" s="1"/>
  <c r="BA10" i="6"/>
  <c r="BB10" i="6" s="1"/>
  <c r="BA21" i="6"/>
  <c r="BB21" i="6" s="1"/>
  <c r="BA67" i="6"/>
  <c r="BB67" i="6" s="1"/>
  <c r="BA39" i="6"/>
  <c r="BB39" i="6" s="1"/>
  <c r="BA64" i="6"/>
  <c r="BB64" i="6" s="1"/>
  <c r="BA71" i="6"/>
  <c r="BB71" i="6" s="1"/>
  <c r="BA96" i="6"/>
  <c r="BB96" i="6" s="1"/>
  <c r="BA103" i="6"/>
  <c r="BB103" i="6" s="1"/>
  <c r="BA106" i="6"/>
  <c r="BB106" i="6" s="1"/>
  <c r="BA29" i="6"/>
  <c r="BB29" i="6" s="1"/>
  <c r="BA93" i="6"/>
  <c r="BB93" i="6" s="1"/>
  <c r="BA100" i="6"/>
  <c r="BB100" i="6" s="1"/>
  <c r="BA107" i="6"/>
  <c r="BB107" i="6" s="1"/>
  <c r="BA114" i="6"/>
  <c r="BB114" i="6" s="1"/>
  <c r="BA42" i="6"/>
  <c r="BB42" i="6" s="1"/>
  <c r="BA60" i="6"/>
  <c r="BB60" i="6" s="1"/>
  <c r="BA99" i="6"/>
  <c r="BB99" i="6" s="1"/>
  <c r="BA32" i="6"/>
  <c r="BB32" i="6" s="1"/>
  <c r="BA15" i="6"/>
  <c r="BB15" i="6" s="1"/>
  <c r="BA40" i="6"/>
  <c r="BB40" i="6" s="1"/>
  <c r="BA47" i="6"/>
  <c r="BB47" i="6" s="1"/>
  <c r="BA72" i="6"/>
  <c r="BB72" i="6" s="1"/>
  <c r="BA79" i="6"/>
  <c r="BB79" i="6" s="1"/>
  <c r="BA18" i="6"/>
  <c r="BB18" i="6" s="1"/>
  <c r="BA36" i="6"/>
  <c r="BB36" i="6" s="1"/>
  <c r="BA12" i="6"/>
  <c r="BB12" i="6" s="1"/>
  <c r="BA19" i="6"/>
  <c r="BB19" i="6" s="1"/>
  <c r="BA26" i="6"/>
  <c r="BB26" i="6" s="1"/>
  <c r="BA37" i="6"/>
  <c r="BB37" i="6" s="1"/>
  <c r="BA44" i="6"/>
  <c r="BB44" i="6" s="1"/>
  <c r="BA51" i="6"/>
  <c r="BB51" i="6" s="1"/>
  <c r="BA58" i="6"/>
  <c r="BB58" i="6" s="1"/>
  <c r="BA69" i="6"/>
  <c r="BB69" i="6" s="1"/>
  <c r="BA76" i="6"/>
  <c r="BB76" i="6" s="1"/>
  <c r="BA83" i="6"/>
  <c r="BB83" i="6" s="1"/>
  <c r="BA90" i="6"/>
  <c r="BB90" i="6" s="1"/>
  <c r="BA101" i="6"/>
  <c r="BB101" i="6" s="1"/>
  <c r="BA108" i="6"/>
  <c r="BB108" i="6" s="1"/>
  <c r="BA28" i="6"/>
  <c r="BB28" i="6" s="1"/>
  <c r="BA53" i="6"/>
  <c r="BB53" i="6" s="1"/>
  <c r="BA74" i="6"/>
  <c r="BB74" i="6" s="1"/>
  <c r="BA92" i="6"/>
  <c r="BB92" i="6" s="1"/>
  <c r="BA48" i="6"/>
  <c r="BB48" i="6" s="1"/>
  <c r="BA55" i="6"/>
  <c r="BB55" i="6" s="1"/>
  <c r="BA80" i="6"/>
  <c r="BB80" i="6" s="1"/>
  <c r="BA87" i="6"/>
  <c r="BB87" i="6" s="1"/>
  <c r="BA112" i="6"/>
  <c r="BB112" i="6" s="1"/>
  <c r="BA35" i="6"/>
  <c r="BB35" i="6" s="1"/>
  <c r="BA85" i="6"/>
  <c r="BB85" i="6" s="1"/>
  <c r="BA11" i="6"/>
  <c r="BB11" i="6" s="1"/>
  <c r="BA8" i="6"/>
  <c r="BB8" i="6" s="1"/>
  <c r="BA13" i="6"/>
  <c r="BB13" i="6" s="1"/>
  <c r="BA20" i="6"/>
  <c r="BB20" i="6" s="1"/>
  <c r="BA27" i="6"/>
  <c r="BB27" i="6" s="1"/>
  <c r="BA34" i="6"/>
  <c r="BB34" i="6" s="1"/>
  <c r="BA45" i="6"/>
  <c r="BB45" i="6" s="1"/>
  <c r="BA52" i="6"/>
  <c r="BB52" i="6" s="1"/>
  <c r="BA59" i="6"/>
  <c r="BB59" i="6" s="1"/>
  <c r="BA77" i="6"/>
  <c r="BB77" i="6" s="1"/>
  <c r="AF91" i="6"/>
  <c r="AF99" i="6"/>
  <c r="AF83" i="6"/>
  <c r="AF115" i="6"/>
  <c r="AF107" i="6"/>
  <c r="AT20" i="6"/>
  <c r="AT52" i="6"/>
  <c r="AT84" i="6"/>
  <c r="AT109" i="6"/>
  <c r="AT88" i="6"/>
  <c r="AT28" i="6"/>
  <c r="AT53" i="6"/>
  <c r="AT106" i="6"/>
  <c r="AT64" i="6"/>
  <c r="AT96" i="6"/>
  <c r="AT18" i="6"/>
  <c r="AT29" i="6"/>
  <c r="AT114" i="6"/>
  <c r="AT31" i="6"/>
  <c r="AT56" i="6"/>
  <c r="AT21" i="6"/>
  <c r="AT60" i="6"/>
  <c r="AT92" i="6"/>
  <c r="AT39" i="6"/>
  <c r="AT71" i="6"/>
  <c r="AT103" i="6"/>
  <c r="AT36" i="6"/>
  <c r="AT61" i="6"/>
  <c r="AT82" i="6"/>
  <c r="AT100" i="6"/>
  <c r="AT15" i="6"/>
  <c r="AT40" i="6"/>
  <c r="AT47" i="6"/>
  <c r="AT51" i="6"/>
  <c r="AT72" i="6"/>
  <c r="AT79" i="6"/>
  <c r="AT83" i="6"/>
  <c r="AT104" i="6"/>
  <c r="AT111" i="6"/>
  <c r="AT115" i="6"/>
  <c r="AT13" i="6"/>
  <c r="AT34" i="6"/>
  <c r="AT45" i="6"/>
  <c r="AT66" i="6"/>
  <c r="AT77" i="6"/>
  <c r="AT98" i="6"/>
  <c r="AT24" i="6"/>
  <c r="AT63" i="6"/>
  <c r="AT95" i="6"/>
  <c r="AT10" i="6"/>
  <c r="AT116" i="6" s="1"/>
  <c r="AT42" i="6"/>
  <c r="AT74" i="6"/>
  <c r="AT85" i="6"/>
  <c r="AT32" i="6"/>
  <c r="AT50" i="6"/>
  <c r="AT68" i="6"/>
  <c r="AT93" i="6"/>
  <c r="AT12" i="6"/>
  <c r="AT26" i="6"/>
  <c r="AT37" i="6"/>
  <c r="AT44" i="6"/>
  <c r="AT69" i="6"/>
  <c r="AT8" i="6"/>
  <c r="AM18" i="6"/>
  <c r="AM37" i="6"/>
  <c r="AM67" i="6"/>
  <c r="AM82" i="6"/>
  <c r="AM15" i="6"/>
  <c r="AM60" i="6"/>
  <c r="AM79" i="6"/>
  <c r="AM94" i="6"/>
  <c r="AM19" i="6"/>
  <c r="AM34" i="6"/>
  <c r="AM38" i="6"/>
  <c r="AM98" i="6"/>
  <c r="AM12" i="6"/>
  <c r="AM27" i="6"/>
  <c r="AM46" i="6"/>
  <c r="AM76" i="6"/>
  <c r="AM95" i="6"/>
  <c r="AM20" i="6"/>
  <c r="AM35" i="6"/>
  <c r="AM54" i="6"/>
  <c r="AM84" i="6"/>
  <c r="AM88" i="6"/>
  <c r="AM99" i="6"/>
  <c r="AM103" i="6"/>
  <c r="AM114" i="6"/>
  <c r="AM56" i="6"/>
  <c r="AM101" i="6"/>
  <c r="AM30" i="6"/>
  <c r="AM45" i="6"/>
  <c r="AM64" i="6"/>
  <c r="AM90" i="6"/>
  <c r="AM53" i="6"/>
  <c r="AM72" i="6"/>
  <c r="AM87" i="6"/>
  <c r="AM16" i="6"/>
  <c r="AM42" i="6"/>
  <c r="AM61" i="6"/>
  <c r="AM80" i="6"/>
  <c r="AM106" i="6"/>
  <c r="AM24" i="6"/>
  <c r="AM116" i="6" s="1"/>
  <c r="AM50" i="6"/>
  <c r="AM69" i="6"/>
  <c r="AM13" i="6"/>
  <c r="AM28" i="6"/>
  <c r="AM32" i="6"/>
  <c r="AM43" i="6"/>
  <c r="AM47" i="6"/>
  <c r="AM58" i="6"/>
  <c r="AM62" i="6"/>
  <c r="AM77" i="6"/>
  <c r="AM92" i="6"/>
  <c r="AM96" i="6"/>
  <c r="AM107" i="6"/>
  <c r="AM111" i="6"/>
  <c r="AM22" i="6"/>
  <c r="AM52" i="6"/>
  <c r="AM71" i="6"/>
  <c r="AM86" i="6"/>
  <c r="AM11" i="6"/>
  <c r="AM26" i="6"/>
  <c r="AM75" i="6"/>
  <c r="AM109" i="6"/>
  <c r="AM23" i="6"/>
  <c r="AM68" i="6"/>
  <c r="AM83" i="6"/>
  <c r="AM102" i="6"/>
  <c r="AM31" i="6"/>
  <c r="AM91" i="6"/>
  <c r="AM110" i="6"/>
  <c r="AM39" i="6"/>
  <c r="AM21" i="6"/>
  <c r="AM36" i="6"/>
  <c r="AM40" i="6"/>
  <c r="AM51" i="6"/>
  <c r="AM55" i="6"/>
  <c r="AM70" i="6"/>
  <c r="AM104" i="6"/>
  <c r="AM8" i="6"/>
  <c r="AF111" i="6"/>
  <c r="AF103" i="6"/>
  <c r="AF95" i="6"/>
  <c r="AF87" i="6"/>
  <c r="AF79" i="6"/>
  <c r="AF71" i="6"/>
  <c r="AF63" i="6"/>
  <c r="AF55" i="6"/>
  <c r="AF47" i="6"/>
  <c r="AF39" i="6"/>
  <c r="AF104" i="6"/>
  <c r="AF88" i="6"/>
  <c r="AF80" i="6"/>
  <c r="AF72" i="6"/>
  <c r="AF64" i="6"/>
  <c r="AF48" i="6"/>
  <c r="AF40" i="6"/>
  <c r="AF32" i="6"/>
  <c r="AF24" i="6"/>
  <c r="AF16" i="6"/>
  <c r="AF75" i="6"/>
  <c r="AF56" i="6"/>
  <c r="AF85" i="6"/>
  <c r="AF77" i="6"/>
  <c r="AF69" i="6"/>
  <c r="AF61" i="6"/>
  <c r="AF53" i="6"/>
  <c r="AF45" i="6"/>
  <c r="AF21" i="6"/>
  <c r="AF37" i="6"/>
  <c r="AF29" i="6"/>
  <c r="AF114" i="6"/>
  <c r="AF110" i="6"/>
  <c r="AF106" i="6"/>
  <c r="AF102" i="6"/>
  <c r="AF98" i="6"/>
  <c r="AF96" i="6"/>
  <c r="AF94" i="6"/>
  <c r="AF90" i="6"/>
  <c r="AF86" i="6"/>
  <c r="AF82" i="6"/>
  <c r="AF78" i="6"/>
  <c r="AF74" i="6"/>
  <c r="AF70" i="6"/>
  <c r="AF67" i="6"/>
  <c r="AF62" i="6"/>
  <c r="AF54" i="6"/>
  <c r="AF13" i="6"/>
  <c r="AF15" i="6"/>
  <c r="AF31" i="6"/>
  <c r="AF23" i="6"/>
  <c r="AF34" i="6"/>
  <c r="AF66" i="6"/>
  <c r="AF58" i="6"/>
  <c r="AF50" i="6"/>
  <c r="AF42" i="6"/>
  <c r="AF38" i="6"/>
  <c r="AF22" i="6"/>
  <c r="AF84" i="6"/>
  <c r="AF76" i="6"/>
  <c r="AF68" i="6"/>
  <c r="AF52" i="6"/>
  <c r="AF36" i="6"/>
  <c r="AF28" i="6"/>
  <c r="AF20" i="6"/>
  <c r="AF12" i="6"/>
  <c r="AF46" i="6"/>
  <c r="AF30" i="6"/>
  <c r="AF14" i="6"/>
  <c r="AF112" i="6"/>
  <c r="AF108" i="6"/>
  <c r="AF100" i="6"/>
  <c r="AF92" i="6"/>
  <c r="AF60" i="6"/>
  <c r="AF44" i="6"/>
  <c r="AF59" i="6"/>
  <c r="AF51" i="6"/>
  <c r="AF43" i="6"/>
  <c r="AF35" i="6"/>
  <c r="AF27" i="6"/>
  <c r="AF19" i="6"/>
  <c r="AF11" i="6"/>
  <c r="AF26" i="6"/>
  <c r="AF18" i="6"/>
  <c r="AF10" i="6"/>
  <c r="AF109" i="6"/>
  <c r="AF101" i="6"/>
  <c r="AF93" i="6"/>
  <c r="AF113" i="6"/>
  <c r="AF105" i="6"/>
  <c r="AF97" i="6"/>
  <c r="AF89" i="6"/>
  <c r="AF81" i="6"/>
  <c r="AF73" i="6"/>
  <c r="AF65" i="6"/>
  <c r="AF57" i="6"/>
  <c r="AF49" i="6"/>
  <c r="AF41" i="6"/>
  <c r="AF33" i="6"/>
  <c r="AF25" i="6"/>
  <c r="AF17" i="6"/>
  <c r="AF9" i="6"/>
  <c r="H38" i="6"/>
  <c r="H37" i="6"/>
  <c r="BA116" i="6" l="1"/>
  <c r="BB116" i="6"/>
  <c r="AF116" i="6"/>
  <c r="H39" i="6"/>
  <c r="S36" i="6"/>
  <c r="S48" i="6"/>
  <c r="S44" i="6"/>
  <c r="S41" i="6"/>
  <c r="S38" i="6"/>
  <c r="S37" i="6"/>
  <c r="S34" i="6"/>
  <c r="G15" i="6" l="1"/>
  <c r="A22" i="4" l="1"/>
  <c r="A18" i="4"/>
  <c r="A14" i="4"/>
  <c r="A10" i="4"/>
</calcChain>
</file>

<file path=xl/sharedStrings.xml><?xml version="1.0" encoding="utf-8"?>
<sst xmlns="http://schemas.openxmlformats.org/spreadsheetml/2006/main" count="624" uniqueCount="269">
  <si>
    <t>Price</t>
  </si>
  <si>
    <t>Jan</t>
  </si>
  <si>
    <t>Feb</t>
  </si>
  <si>
    <t>Mar</t>
  </si>
  <si>
    <t>Apr</t>
  </si>
  <si>
    <t>May</t>
  </si>
  <si>
    <t>Jun</t>
  </si>
  <si>
    <t>Month</t>
  </si>
  <si>
    <t>Vitality Inc. makes magnetic bracelets that help with balance and pain.  They have recently conducted research comparing</t>
  </si>
  <si>
    <t>Set</t>
  </si>
  <si>
    <t xml:space="preserve">Set 1 </t>
  </si>
  <si>
    <t>Set 2</t>
  </si>
  <si>
    <t>Set 3</t>
  </si>
  <si>
    <t>2.  Intepret the line equation and fit statistic</t>
  </si>
  <si>
    <t>4. Do a write-up on the results.</t>
  </si>
  <si>
    <t>Product</t>
  </si>
  <si>
    <t>Elasticity</t>
  </si>
  <si>
    <t>Current Price</t>
  </si>
  <si>
    <t>Cost</t>
  </si>
  <si>
    <t xml:space="preserve">     instead of considering the optimal price point to maximize revenue?</t>
  </si>
  <si>
    <t>Unit Cost:</t>
  </si>
  <si>
    <t>Demand
(x10,000)</t>
  </si>
  <si>
    <t>Dress Shoes</t>
  </si>
  <si>
    <t>Belt</t>
  </si>
  <si>
    <t>Cuff links</t>
  </si>
  <si>
    <t>Watch</t>
  </si>
  <si>
    <t>3. Use Sover to find the optimal price to maximize profit.</t>
  </si>
  <si>
    <t>1.  Plot on a graph plus insert a trendline, line equation and fit statistic for the necklaces.</t>
  </si>
  <si>
    <t>Assume the price elasticity of necklaces is 5.  Should you recommend a different price for the necklace?</t>
  </si>
  <si>
    <t>Part 3 (10 points)</t>
  </si>
  <si>
    <t xml:space="preserve">     and necklaces.</t>
  </si>
  <si>
    <t>2. Use Solver to find the optimal price of bracelets to maximize profit when considering both bracelets</t>
  </si>
  <si>
    <t>1.  What is the unit contribution for necklaces?</t>
  </si>
  <si>
    <t>Necklaces are complementary products which are typically sold with bracelets.  The price of necklaces</t>
  </si>
  <si>
    <t>Part 2 (5 points)</t>
  </si>
  <si>
    <t>Part 1 (10 points)</t>
  </si>
  <si>
    <t>1. Use Sover to find the optimal price to maximize profit.</t>
  </si>
  <si>
    <t>2. Do a write-up on the results.</t>
  </si>
  <si>
    <t>5 points</t>
  </si>
  <si>
    <t>20 Points</t>
  </si>
  <si>
    <t>2.  Interpret results and provide a recommendation. (4 points)</t>
  </si>
  <si>
    <t>3.  What would the profit be if Aldo priced each product at 30% markup of cost. (8 points)</t>
  </si>
  <si>
    <t>1.  Assume linear elasticity, calculate the price that will maximize profits. (8 points)</t>
  </si>
  <si>
    <t>1. Determine the average units purchase for each price point</t>
  </si>
  <si>
    <t>Aldo's men's dress shoes has a capacity of delivering 750 pairs of shoes per month.</t>
  </si>
  <si>
    <t>Current Monthly Demand</t>
  </si>
  <si>
    <t>three price points to determine the best price to sell the bracelets.  They sold bracelets for six months at 3-sets of comarable</t>
  </si>
  <si>
    <t xml:space="preserve">six stores.  In the first set of six stores, the sold the bracelets for $40.00, in the second set of stores the price was $45 and </t>
  </si>
  <si>
    <t>in the third set, the price was $50.  As the marketing manager, you are asked to analyze the data.</t>
  </si>
  <si>
    <t>Store
No.</t>
  </si>
  <si>
    <t>Ave
Demand</t>
  </si>
  <si>
    <t>Store 1</t>
  </si>
  <si>
    <t>2.  Plot on a graph plus insert a trendline, line equation and fit statistic.</t>
  </si>
  <si>
    <t>3.  Do an Intercept and Slope function.</t>
  </si>
  <si>
    <t>4.  Intepret the line equation and fit statistic</t>
  </si>
  <si>
    <r>
      <t xml:space="preserve">5.  Determine the elasticity of price by finding </t>
    </r>
    <r>
      <rPr>
        <b/>
        <sz val="11"/>
        <color theme="1"/>
        <rFont val="Calibri"/>
        <family val="2"/>
        <scheme val="minor"/>
      </rPr>
      <t>two price points using the line equation</t>
    </r>
    <r>
      <rPr>
        <sz val="11"/>
        <color theme="1"/>
        <rFont val="Calibri"/>
        <family val="2"/>
        <scheme val="minor"/>
      </rPr>
      <t>.</t>
    </r>
  </si>
  <si>
    <t>6.  Is the elasticity of demand elastic or inelastic and what could this mean in terms of raising/lowering price?</t>
  </si>
  <si>
    <t>Store 2</t>
  </si>
  <si>
    <t>7. Use Sover to find the optimal price to maximize profit.</t>
  </si>
  <si>
    <r>
      <t xml:space="preserve">9. Compare profit of optimal price to the profit obtained at price points </t>
    </r>
    <r>
      <rPr>
        <b/>
        <u/>
        <sz val="11"/>
        <color theme="1"/>
        <rFont val="Calibri"/>
        <family val="2"/>
        <scheme val="minor"/>
      </rPr>
      <t>$2.00 above cost</t>
    </r>
    <r>
      <rPr>
        <sz val="11"/>
        <color theme="1"/>
        <rFont val="Calibri"/>
        <family val="2"/>
        <scheme val="minor"/>
      </rPr>
      <t xml:space="preserve"> and </t>
    </r>
    <r>
      <rPr>
        <b/>
        <u/>
        <sz val="11"/>
        <color theme="1"/>
        <rFont val="Calibri"/>
        <family val="2"/>
        <scheme val="minor"/>
      </rPr>
      <t>double cost</t>
    </r>
    <r>
      <rPr>
        <sz val="11"/>
        <color theme="1"/>
        <rFont val="Calibri"/>
        <family val="2"/>
        <scheme val="minor"/>
      </rPr>
      <t>.</t>
    </r>
  </si>
  <si>
    <t>10. Do a write-up on the results.</t>
  </si>
  <si>
    <t>Store 3</t>
  </si>
  <si>
    <t>is $30.00 with a unit cost of $8.00.  On average, 75% of individuals that purchase bracelets also purchase necklaces.</t>
  </si>
  <si>
    <t>Store 4</t>
  </si>
  <si>
    <t>Store 5</t>
  </si>
  <si>
    <t>Store 6</t>
  </si>
  <si>
    <t>3. What might be some reasons why the Sprint sells at $15 and overtime reduces prices</t>
  </si>
  <si>
    <t>Row Labels</t>
  </si>
  <si>
    <t>Grand Total</t>
  </si>
  <si>
    <t>Average of Ave</t>
  </si>
  <si>
    <t>Part 1</t>
  </si>
  <si>
    <t>1)</t>
  </si>
  <si>
    <t>2)</t>
  </si>
  <si>
    <t>3)</t>
  </si>
  <si>
    <t>Slope:</t>
  </si>
  <si>
    <t>Intercept:</t>
  </si>
  <si>
    <t xml:space="preserve">4) </t>
  </si>
  <si>
    <t xml:space="preserve">line equation </t>
  </si>
  <si>
    <t>y = m(x)+c</t>
  </si>
  <si>
    <t>m = -31.26</t>
  </si>
  <si>
    <t>y = -31.26*x+1947</t>
  </si>
  <si>
    <t>c = 1947</t>
  </si>
  <si>
    <t>R Squared:</t>
  </si>
  <si>
    <t xml:space="preserve">5) </t>
  </si>
  <si>
    <t>% change in quantity</t>
  </si>
  <si>
    <t>% change in price</t>
  </si>
  <si>
    <t xml:space="preserve">Elasticity </t>
  </si>
  <si>
    <t>% change in quantity/%change in price</t>
  </si>
  <si>
    <r>
      <t>Elasticity = –2.30</t>
    </r>
    <r>
      <rPr>
        <sz val="11"/>
        <color theme="1"/>
        <rFont val="Calibri"/>
        <family val="2"/>
        <scheme val="minor"/>
      </rPr>
      <t xml:space="preserve"> means demand is </t>
    </r>
    <r>
      <rPr>
        <b/>
        <sz val="11"/>
        <color theme="1"/>
        <rFont val="Calibri"/>
        <family val="2"/>
        <scheme val="minor"/>
      </rPr>
      <t>highly elastic</t>
    </r>
    <r>
      <rPr>
        <sz val="11"/>
        <color theme="1"/>
        <rFont val="Calibri"/>
        <family val="2"/>
        <scheme val="minor"/>
      </rPr>
      <t xml:space="preserve"> in this range.</t>
    </r>
  </si>
  <si>
    <r>
      <t xml:space="preserve">A 1% increase in price leads to a </t>
    </r>
    <r>
      <rPr>
        <b/>
        <sz val="11"/>
        <color theme="1"/>
        <rFont val="Calibri"/>
        <family val="2"/>
        <scheme val="minor"/>
      </rPr>
      <t>2.3% drop in demand</t>
    </r>
    <r>
      <rPr>
        <sz val="11"/>
        <color theme="1"/>
        <rFont val="Calibri"/>
        <family val="2"/>
        <scheme val="minor"/>
      </rPr>
      <t>.</t>
    </r>
  </si>
  <si>
    <r>
      <t xml:space="preserve">Customers are </t>
    </r>
    <r>
      <rPr>
        <b/>
        <sz val="11"/>
        <color theme="1"/>
        <rFont val="Calibri"/>
        <family val="2"/>
        <scheme val="minor"/>
      </rPr>
      <t>very sensitive to price changes</t>
    </r>
    <r>
      <rPr>
        <sz val="11"/>
        <color theme="1"/>
        <rFont val="Calibri"/>
        <family val="2"/>
        <scheme val="minor"/>
      </rPr>
      <t xml:space="preserve"> between $40 and $45.</t>
    </r>
  </si>
  <si>
    <t xml:space="preserve"> Interpretation</t>
  </si>
  <si>
    <t>at $40</t>
  </si>
  <si>
    <t>at $45</t>
  </si>
  <si>
    <t>at $50</t>
  </si>
  <si>
    <t xml:space="preserve">6) </t>
  </si>
  <si>
    <r>
      <t>Elasticity = –2.30</t>
    </r>
    <r>
      <rPr>
        <sz val="11"/>
        <color theme="1"/>
        <rFont val="Calibri"/>
        <family val="2"/>
        <scheme val="minor"/>
      </rPr>
      <t xml:space="preserve"> → This is </t>
    </r>
    <r>
      <rPr>
        <b/>
        <sz val="11"/>
        <color theme="1"/>
        <rFont val="Calibri"/>
        <family val="2"/>
        <scheme val="minor"/>
      </rPr>
      <t>elastic demand</t>
    </r>
  </si>
  <si>
    <r>
      <t xml:space="preserve">Why? Because the absolute value is </t>
    </r>
    <r>
      <rPr>
        <b/>
        <sz val="11"/>
        <color theme="1"/>
        <rFont val="Calibri"/>
        <family val="2"/>
        <scheme val="minor"/>
      </rPr>
      <t>greater than 1</t>
    </r>
  </si>
  <si>
    <t>∣Elasticity∣=2.30&gt;1</t>
  </si>
  <si>
    <r>
      <t xml:space="preserve">Consumers are </t>
    </r>
    <r>
      <rPr>
        <b/>
        <sz val="11"/>
        <color theme="1"/>
        <rFont val="Calibri"/>
        <family val="2"/>
        <scheme val="minor"/>
      </rPr>
      <t>highly sensitive to price changes</t>
    </r>
  </si>
  <si>
    <r>
      <t xml:space="preserve">A small increase in price leads to a </t>
    </r>
    <r>
      <rPr>
        <b/>
        <sz val="11"/>
        <color theme="1"/>
        <rFont val="Calibri"/>
        <family val="2"/>
        <scheme val="minor"/>
      </rPr>
      <t>larger percentage drop in quantity demanded</t>
    </r>
  </si>
  <si>
    <r>
      <t xml:space="preserve">Conversely, a small decrease in price leads to a </t>
    </r>
    <r>
      <rPr>
        <b/>
        <sz val="11"/>
        <color theme="1"/>
        <rFont val="Calibri"/>
        <family val="2"/>
        <scheme val="minor"/>
      </rPr>
      <t>larger percentage increase in quantity demanded</t>
    </r>
  </si>
  <si>
    <t>If You Raise the Price:</t>
  </si>
  <si>
    <t>You’ll likely lose more customers than the extra revenue per unit can compensate for</t>
  </si>
  <si>
    <r>
      <t xml:space="preserve">Total revenue and profit may </t>
    </r>
    <r>
      <rPr>
        <b/>
        <sz val="11"/>
        <color theme="1"/>
        <rFont val="Calibri"/>
        <family val="2"/>
        <scheme val="minor"/>
      </rPr>
      <t>decrease</t>
    </r>
  </si>
  <si>
    <t>If You Lower the Price:</t>
  </si>
  <si>
    <t>You’ll likely gain significantly more customers</t>
  </si>
  <si>
    <r>
      <t xml:space="preserve">Total revenue and profit may </t>
    </r>
    <r>
      <rPr>
        <b/>
        <sz val="11"/>
        <color theme="1"/>
        <rFont val="Calibri"/>
        <family val="2"/>
        <scheme val="minor"/>
      </rPr>
      <t>increase</t>
    </r>
    <r>
      <rPr>
        <sz val="11"/>
        <color theme="1"/>
        <rFont val="Calibri"/>
        <family val="2"/>
        <scheme val="minor"/>
      </rPr>
      <t>, especially if your margins still cover costs</t>
    </r>
  </si>
  <si>
    <t>Strategic Recommendation</t>
  </si>
  <si>
    <t>Since demand is elastic:</t>
  </si>
  <si>
    <r>
      <t>Lowering price</t>
    </r>
    <r>
      <rPr>
        <sz val="11"/>
        <color theme="1"/>
        <rFont val="Calibri"/>
        <family val="2"/>
        <scheme val="minor"/>
      </rPr>
      <t xml:space="preserve"> could be a smart move to </t>
    </r>
    <r>
      <rPr>
        <b/>
        <sz val="11"/>
        <color theme="1"/>
        <rFont val="Calibri"/>
        <family val="2"/>
        <scheme val="minor"/>
      </rPr>
      <t>boost volume and total profit</t>
    </r>
  </si>
  <si>
    <r>
      <t xml:space="preserve">But you should also model </t>
    </r>
    <r>
      <rPr>
        <b/>
        <sz val="11"/>
        <color theme="1"/>
        <rFont val="Calibri"/>
        <family val="2"/>
        <scheme val="minor"/>
      </rPr>
      <t>profit per unit</t>
    </r>
    <r>
      <rPr>
        <sz val="11"/>
        <color theme="1"/>
        <rFont val="Calibri"/>
        <family val="2"/>
        <scheme val="minor"/>
      </rPr>
      <t xml:space="preserve"> to find the sweet spot where </t>
    </r>
    <r>
      <rPr>
        <b/>
        <sz val="11"/>
        <color theme="1"/>
        <rFont val="Calibri"/>
        <family val="2"/>
        <scheme val="minor"/>
      </rPr>
      <t>volume × margin</t>
    </r>
    <r>
      <rPr>
        <sz val="11"/>
        <color theme="1"/>
        <rFont val="Calibri"/>
        <family val="2"/>
        <scheme val="minor"/>
      </rPr>
      <t xml:space="preserve"> is maximized</t>
    </r>
  </si>
  <si>
    <t>Units sold</t>
  </si>
  <si>
    <t>profit per unit</t>
  </si>
  <si>
    <t>total profit</t>
  </si>
  <si>
    <t>(Assuming 20$ cost)</t>
  </si>
  <si>
    <t>Demand</t>
  </si>
  <si>
    <t>Unit cost</t>
  </si>
  <si>
    <t>Profit Per Unit</t>
  </si>
  <si>
    <t>Total Profit</t>
  </si>
  <si>
    <t xml:space="preserve">7) </t>
  </si>
  <si>
    <r>
      <t xml:space="preserve">Total profit for that price is </t>
    </r>
    <r>
      <rPr>
        <b/>
        <sz val="11"/>
        <color theme="1"/>
        <rFont val="Calibri"/>
        <family val="2"/>
        <scheme val="minor"/>
      </rPr>
      <t>$2134094</t>
    </r>
  </si>
  <si>
    <r>
      <t xml:space="preserve">Optimal Price for maximizing profit for is </t>
    </r>
    <r>
      <rPr>
        <b/>
        <sz val="11"/>
        <color theme="1"/>
        <rFont val="Calibri"/>
        <family val="2"/>
        <scheme val="minor"/>
      </rPr>
      <t>$37.14</t>
    </r>
  </si>
  <si>
    <t xml:space="preserve">8) </t>
  </si>
  <si>
    <r>
      <t xml:space="preserve">Unit contribution at the optimal price is </t>
    </r>
    <r>
      <rPr>
        <b/>
        <sz val="11"/>
        <color theme="1"/>
        <rFont val="Calibri"/>
        <family val="2"/>
        <scheme val="minor"/>
      </rPr>
      <t>$25.14</t>
    </r>
  </si>
  <si>
    <t>$2 more than Unit Price</t>
  </si>
  <si>
    <t>Double the Cost</t>
  </si>
  <si>
    <t xml:space="preserve">9) </t>
  </si>
  <si>
    <r>
      <t xml:space="preserve">$2 more than the unit price, the profit is </t>
    </r>
    <r>
      <rPr>
        <b/>
        <sz val="11"/>
        <color theme="1"/>
        <rFont val="Calibri"/>
        <family val="2"/>
        <scheme val="minor"/>
      </rPr>
      <t>$326021.8</t>
    </r>
  </si>
  <si>
    <r>
      <t xml:space="preserve">Double the unit price, the profit is </t>
    </r>
    <r>
      <rPr>
        <b/>
        <sz val="11"/>
        <color theme="1"/>
        <rFont val="Calibri"/>
        <family val="2"/>
        <scheme val="minor"/>
      </rPr>
      <t>$1551001</t>
    </r>
  </si>
  <si>
    <r>
      <t xml:space="preserve">Optimal price, the profit is </t>
    </r>
    <r>
      <rPr>
        <b/>
        <sz val="11"/>
        <color theme="1"/>
        <rFont val="Calibri"/>
        <family val="2"/>
        <scheme val="minor"/>
      </rPr>
      <t>$2134094</t>
    </r>
  </si>
  <si>
    <t>optimal price stood out with more profit, than $2 more, or double the unit price.</t>
  </si>
  <si>
    <t>10)</t>
  </si>
  <si>
    <r>
      <t>1. Demand Behavior by Price Point</t>
    </r>
    <r>
      <rPr>
        <sz val="11"/>
        <color theme="1"/>
        <rFont val="Calibri"/>
        <family val="2"/>
        <scheme val="minor"/>
      </rPr>
      <t xml:space="preserve"> The average monthly demand across six stores revealed a clear inverse relationship between price and quantity sold:</t>
    </r>
  </si>
  <si>
    <r>
      <t>$40.00</t>
    </r>
    <r>
      <rPr>
        <sz val="11"/>
        <color theme="1"/>
        <rFont val="Calibri"/>
        <family val="2"/>
        <scheme val="minor"/>
      </rPr>
      <t xml:space="preserve"> → 712.67 units</t>
    </r>
  </si>
  <si>
    <r>
      <t>$45.00</t>
    </r>
    <r>
      <rPr>
        <sz val="11"/>
        <color theme="1"/>
        <rFont val="Calibri"/>
        <family val="2"/>
        <scheme val="minor"/>
      </rPr>
      <t xml:space="preserve"> → 507.64 units</t>
    </r>
  </si>
  <si>
    <r>
      <t>$50.00</t>
    </r>
    <r>
      <rPr>
        <sz val="11"/>
        <color theme="1"/>
        <rFont val="Calibri"/>
        <family val="2"/>
        <scheme val="minor"/>
      </rPr>
      <t xml:space="preserve"> → 400.00 units</t>
    </r>
  </si>
  <si>
    <t>This trend confirms that customers are highly sensitive to price changes in this range.</t>
  </si>
  <si>
    <r>
      <t>2. Regression Analysis</t>
    </r>
    <r>
      <rPr>
        <sz val="11"/>
        <color theme="1"/>
        <rFont val="Calibri"/>
        <family val="2"/>
        <scheme val="minor"/>
      </rPr>
      <t xml:space="preserve"> A linear regression model was developed to quantify the relationship between price and demand:</t>
    </r>
  </si>
  <si>
    <t>Equation:</t>
  </si>
  <si>
    <t>Demand=−31.27⋅Price+1947.10\text{Demand} = -31.27 \cdot \text{Price} + 1947.10</t>
  </si>
  <si>
    <r>
      <t>R² = 0.7947</t>
    </r>
    <r>
      <rPr>
        <sz val="11"/>
        <color theme="1"/>
        <rFont val="Calibri"/>
        <family val="2"/>
        <scheme val="minor"/>
      </rPr>
      <t>, indicating a strong fit and reliable predictive power.</t>
    </r>
  </si>
  <si>
    <r>
      <t>3. Price Elasticity of Demand</t>
    </r>
    <r>
      <rPr>
        <sz val="11"/>
        <color theme="1"/>
        <rFont val="Calibri"/>
        <family val="2"/>
        <scheme val="minor"/>
      </rPr>
      <t xml:space="preserve"> Elasticity between $40 and $45 was calculated as </t>
    </r>
    <r>
      <rPr>
        <b/>
        <sz val="11"/>
        <color theme="1"/>
        <rFont val="Calibri"/>
        <family val="2"/>
        <scheme val="minor"/>
      </rPr>
      <t>–2.30</t>
    </r>
    <r>
      <rPr>
        <sz val="11"/>
        <color theme="1"/>
        <rFont val="Calibri"/>
        <family val="2"/>
        <scheme val="minor"/>
      </rPr>
      <t xml:space="preserve">, signifying </t>
    </r>
    <r>
      <rPr>
        <b/>
        <sz val="11"/>
        <color theme="1"/>
        <rFont val="Calibri"/>
        <family val="2"/>
        <scheme val="minor"/>
      </rPr>
      <t>highly elastic demand</t>
    </r>
    <r>
      <rPr>
        <sz val="11"/>
        <color theme="1"/>
        <rFont val="Calibri"/>
        <family val="2"/>
        <scheme val="minor"/>
      </rPr>
      <t>:</t>
    </r>
  </si>
  <si>
    <t>A 1% increase in price results in a 2.3% decrease in quantity demanded.</t>
  </si>
  <si>
    <t>Customers are extremely responsive to price shifts, suggesting that even small increases can significantly reduce sales volume.</t>
  </si>
  <si>
    <r>
      <t>4. Profit Optimization Using Solver</t>
    </r>
    <r>
      <rPr>
        <sz val="11"/>
        <color theme="1"/>
        <rFont val="Calibri"/>
        <family val="2"/>
        <scheme val="minor"/>
      </rPr>
      <t xml:space="preserve"> Solver was used to identify the price that maximizes total profit across all stores:</t>
    </r>
  </si>
  <si>
    <r>
      <t>Optimal Price:</t>
    </r>
    <r>
      <rPr>
        <sz val="11"/>
        <color theme="1"/>
        <rFont val="Calibri"/>
        <family val="2"/>
        <scheme val="minor"/>
      </rPr>
      <t xml:space="preserve"> $37.14</t>
    </r>
  </si>
  <si>
    <r>
      <t>Unit Cost:</t>
    </r>
    <r>
      <rPr>
        <sz val="11"/>
        <color theme="1"/>
        <rFont val="Calibri"/>
        <family val="2"/>
        <scheme val="minor"/>
      </rPr>
      <t xml:space="preserve"> $12.00</t>
    </r>
  </si>
  <si>
    <r>
      <t>Unit Contribution:</t>
    </r>
    <r>
      <rPr>
        <sz val="11"/>
        <color theme="1"/>
        <rFont val="Calibri"/>
        <family val="2"/>
        <scheme val="minor"/>
      </rPr>
      <t xml:space="preserve"> $25.14</t>
    </r>
  </si>
  <si>
    <r>
      <t>Total Profit:</t>
    </r>
    <r>
      <rPr>
        <sz val="11"/>
        <color theme="1"/>
        <rFont val="Calibri"/>
        <family val="2"/>
        <scheme val="minor"/>
      </rPr>
      <t xml:space="preserve"> $2,134,094</t>
    </r>
  </si>
  <si>
    <t>This price point balances volume and margin more effectively than either $2 above cost or double cost.</t>
  </si>
  <si>
    <t>5. Comparative Profit Analysis</t>
  </si>
  <si>
    <t>Strategy</t>
  </si>
  <si>
    <t>Profit</t>
  </si>
  <si>
    <t>$2 Above Cost</t>
  </si>
  <si>
    <t>Double Cost</t>
  </si>
  <si>
    <t>Optimal Price (Solver)</t>
  </si>
  <si>
    <t>The optimal price outperforms both alternatives, delivering the highest total profit.</t>
  </si>
  <si>
    <r>
      <t>6. Strategic Recommendation</t>
    </r>
    <r>
      <rPr>
        <sz val="11"/>
        <color theme="1"/>
        <rFont val="Calibri"/>
        <family val="2"/>
        <scheme val="minor"/>
      </rPr>
      <t xml:space="preserve"> Given the elasticity and profit outcomes:</t>
    </r>
  </si>
  <si>
    <r>
      <t>Lowering price</t>
    </r>
    <r>
      <rPr>
        <sz val="11"/>
        <color theme="1"/>
        <rFont val="Calibri"/>
        <family val="2"/>
        <scheme val="minor"/>
      </rPr>
      <t xml:space="preserve"> from $45 or $50 toward the optimal level of $37.14 is recommended.</t>
    </r>
  </si>
  <si>
    <t>This strategy is expected to increase volume and maximize overall profitability.</t>
  </si>
  <si>
    <t>Future analysis should incorporate complementary products (e.g., necklaces) to explore bundled pricing opportunities and cross-sell potential.</t>
  </si>
  <si>
    <r>
      <t>Conclusion:</t>
    </r>
    <r>
      <rPr>
        <sz val="11"/>
        <color theme="1"/>
        <rFont val="Calibri"/>
        <family val="2"/>
        <scheme val="minor"/>
      </rPr>
      <t xml:space="preserve"> Vitality Inc. should adopt a data-driven pricing strategy centered around $37.14 for its magnetic bracelets. This price point maximizes profit while remaining sensitive to customer demand behavior.</t>
    </r>
  </si>
  <si>
    <t>Chart right next</t>
  </si>
  <si>
    <t>Part 2</t>
  </si>
  <si>
    <t>Unit cost:</t>
  </si>
  <si>
    <t>Price:</t>
  </si>
  <si>
    <t>Unit Contribution:</t>
  </si>
  <si>
    <t>30-8 = $22</t>
  </si>
  <si>
    <t>This means each necklace sold contributes $22.00 toward profit.</t>
  </si>
  <si>
    <t xml:space="preserve">2) </t>
  </si>
  <si>
    <t>Bracelet Profit:</t>
  </si>
  <si>
    <t>(price-12)*Demand</t>
  </si>
  <si>
    <t>Profit Per Unit:</t>
  </si>
  <si>
    <t>37.14-12 = $25.14</t>
  </si>
  <si>
    <t>Total Bracelet Profit:</t>
  </si>
  <si>
    <t>25.14 * 786 = $19,753.31 (786 bracelets sold)</t>
  </si>
  <si>
    <t>Necklace profit:</t>
  </si>
  <si>
    <t>22*(0.75*Demand)</t>
  </si>
  <si>
    <r>
      <t>0.75 × Demand</t>
    </r>
    <r>
      <rPr>
        <sz val="11"/>
        <color theme="1"/>
        <rFont val="Calibri"/>
        <family val="2"/>
        <scheme val="minor"/>
      </rPr>
      <t xml:space="preserve"> reflects that </t>
    </r>
    <r>
      <rPr>
        <b/>
        <sz val="11"/>
        <color theme="1"/>
        <rFont val="Calibri"/>
        <family val="2"/>
        <scheme val="minor"/>
      </rPr>
      <t>75% of bracelet buyers also buy a necklace</t>
    </r>
    <r>
      <rPr>
        <sz val="11"/>
        <color theme="1"/>
        <rFont val="Calibri"/>
        <family val="2"/>
        <scheme val="minor"/>
      </rPr>
      <t>.</t>
    </r>
  </si>
  <si>
    <t>if 786 bracelets were sold</t>
  </si>
  <si>
    <t>0.75 * 786</t>
  </si>
  <si>
    <t>Necklace Profit:</t>
  </si>
  <si>
    <t>22*589.5</t>
  </si>
  <si>
    <t>total profit:</t>
  </si>
  <si>
    <t>Combine Profit</t>
  </si>
  <si>
    <r>
      <t xml:space="preserve">the Optimal Price for bracelets to maximize profit when considering both bracelets and necklaces are </t>
    </r>
    <r>
      <rPr>
        <b/>
        <sz val="11"/>
        <color theme="1"/>
        <rFont val="Calibri"/>
        <family val="2"/>
        <scheme val="minor"/>
      </rPr>
      <t>$28.89</t>
    </r>
  </si>
  <si>
    <t>(Data Table at the last)</t>
  </si>
  <si>
    <t>Bracelets and necklaces</t>
  </si>
  <si>
    <t>Base Price</t>
  </si>
  <si>
    <t>Base Demand</t>
  </si>
  <si>
    <t>Unit Cost</t>
  </si>
  <si>
    <t>Profit per unit</t>
  </si>
  <si>
    <t xml:space="preserve">Demand </t>
  </si>
  <si>
    <t>necklace price:</t>
  </si>
  <si>
    <t>MAX Profit:</t>
  </si>
  <si>
    <t>Sensitivity Table</t>
  </si>
  <si>
    <t>PART 3</t>
  </si>
  <si>
    <r>
      <t xml:space="preserve">Set the necklace price at </t>
    </r>
    <r>
      <rPr>
        <b/>
        <sz val="11"/>
        <color theme="1"/>
        <rFont val="Calibri"/>
        <family val="2"/>
        <scheme val="minor"/>
      </rPr>
      <t>$45.32</t>
    </r>
    <r>
      <rPr>
        <sz val="11"/>
        <color theme="1"/>
        <rFont val="Calibri"/>
        <family val="2"/>
        <scheme val="minor"/>
      </rPr>
      <t xml:space="preserve"> to maximize profitability. This price point:</t>
    </r>
  </si>
  <si>
    <t>Captures strong demand volume</t>
  </si>
  <si>
    <t>Maintains a healthy margin</t>
  </si>
  <si>
    <t>Outperforms both low-price and high-price alternatives</t>
  </si>
  <si>
    <t>Consider bundling with complementary products (e.g., bracelets) or testing cross-elasticity effects to further enhance revenue.</t>
  </si>
  <si>
    <r>
      <t xml:space="preserve">Profit peaks at </t>
    </r>
    <r>
      <rPr>
        <b/>
        <sz val="11"/>
        <color theme="1"/>
        <rFont val="Calibri"/>
        <family val="2"/>
        <scheme val="minor"/>
      </rPr>
      <t>$45.32</t>
    </r>
    <r>
      <rPr>
        <sz val="11"/>
        <color theme="1"/>
        <rFont val="Calibri"/>
        <family val="2"/>
        <scheme val="minor"/>
      </rPr>
      <t>, confirming Solver’s result.</t>
    </r>
  </si>
  <si>
    <t>Prices below $43 or above $47 show diminishing returns.</t>
  </si>
  <si>
    <t>The curve is steep, indicating high price sensitivity—small shifts in price cause large changes in demand and profit.</t>
  </si>
  <si>
    <t>Demand 2</t>
  </si>
  <si>
    <t>Demand 1</t>
  </si>
  <si>
    <t>2. Interpretation of Line Equation and Fit Statistic</t>
  </si>
  <si>
    <r>
      <t>Slope (–113,242):</t>
    </r>
    <r>
      <rPr>
        <sz val="11"/>
        <color theme="1"/>
        <rFont val="Calibri"/>
        <family val="2"/>
        <scheme val="minor"/>
      </rPr>
      <t xml:space="preserve"> For every $1 increase in price, demand drops by 113,242 units. This reflects </t>
    </r>
    <r>
      <rPr>
        <b/>
        <sz val="11"/>
        <color theme="1"/>
        <rFont val="Calibri"/>
        <family val="2"/>
        <scheme val="minor"/>
      </rPr>
      <t>high price sensitivity</t>
    </r>
    <r>
      <rPr>
        <sz val="11"/>
        <color theme="1"/>
        <rFont val="Calibri"/>
        <family val="2"/>
        <scheme val="minor"/>
      </rPr>
      <t>.</t>
    </r>
  </si>
  <si>
    <r>
      <t>Intercept (8,000,000):</t>
    </r>
    <r>
      <rPr>
        <sz val="11"/>
        <color theme="1"/>
        <rFont val="Calibri"/>
        <family val="2"/>
        <scheme val="minor"/>
      </rPr>
      <t xml:space="preserve"> Theoretical demand at $0 price—useful for modeling, though not realistic.</t>
    </r>
  </si>
  <si>
    <r>
      <t>R² = 1.0:</t>
    </r>
    <r>
      <rPr>
        <sz val="11"/>
        <color theme="1"/>
        <rFont val="Calibri"/>
        <family val="2"/>
        <scheme val="minor"/>
      </rPr>
      <t xml:space="preserve"> Indicates a </t>
    </r>
    <r>
      <rPr>
        <b/>
        <sz val="11"/>
        <color theme="1"/>
        <rFont val="Calibri"/>
        <family val="2"/>
        <scheme val="minor"/>
      </rPr>
      <t>perfect linear fit</t>
    </r>
    <r>
      <rPr>
        <sz val="11"/>
        <color theme="1"/>
        <rFont val="Calibri"/>
        <family val="2"/>
        <scheme val="minor"/>
      </rPr>
      <t>. All data points lie exactly on the regression line, meaning price fully explains demand in this model.</t>
    </r>
  </si>
  <si>
    <t>While this is ideal for modeling, real-world data would likely show more variability.</t>
  </si>
  <si>
    <t>Profit/Unit</t>
  </si>
  <si>
    <t>RSQD:</t>
  </si>
  <si>
    <t>Interpretation</t>
  </si>
  <si>
    <t>The steep slope (–2.85M) shows that even small price increases cause large drops in demand.</t>
  </si>
  <si>
    <t>Although higher prices yield better margins per unit, the loss in volume outweighs the gain—especially beyond $14.00.</t>
  </si>
  <si>
    <t>At $15.00, demand turns negative, making it an infeasible price point.</t>
  </si>
  <si>
    <t>The optimal price of $13.50 strikes the best balance between volume and margin, maximizing total profit.</t>
  </si>
  <si>
    <t>Strategic Implications</t>
  </si>
  <si>
    <r>
      <t xml:space="preserve">Sprint should consider a </t>
    </r>
    <r>
      <rPr>
        <b/>
        <sz val="11"/>
        <color theme="1"/>
        <rFont val="Calibri"/>
        <family val="2"/>
        <scheme val="minor"/>
      </rPr>
      <t>volume-driven pricing strategy</t>
    </r>
    <r>
      <rPr>
        <sz val="11"/>
        <color theme="1"/>
        <rFont val="Calibri"/>
        <family val="2"/>
        <scheme val="minor"/>
      </rPr>
      <t xml:space="preserve"> rather than premium positioning.</t>
    </r>
  </si>
  <si>
    <r>
      <t xml:space="preserve">The model supports </t>
    </r>
    <r>
      <rPr>
        <b/>
        <sz val="11"/>
        <color theme="1"/>
        <rFont val="Calibri"/>
        <family val="2"/>
        <scheme val="minor"/>
      </rPr>
      <t>penetration pricing</t>
    </r>
    <r>
      <rPr>
        <sz val="11"/>
        <color theme="1"/>
        <rFont val="Calibri"/>
        <family val="2"/>
        <scheme val="minor"/>
      </rPr>
      <t xml:space="preserve"> to capture market share while maintaining profitability.</t>
    </r>
  </si>
  <si>
    <t>Further testing around $13.25–$13.75 could refine the peak and validate elasticity assumptions.</t>
  </si>
  <si>
    <t xml:space="preserve">3) </t>
  </si>
  <si>
    <t>1. Price Skimming Strategy</t>
  </si>
  <si>
    <t>Companies often launch at a high price to capture early adopters who are less price-sensitive.</t>
  </si>
  <si>
    <t>This maximizes short-term margins before expanding to broader markets.</t>
  </si>
  <si>
    <t>2. Perceived Value &amp; Brand Positioning</t>
  </si>
  <si>
    <t>A higher price signals premium quality or exclusivity.</t>
  </si>
  <si>
    <t>It sets a psychological anchor—making future discounts feel more valuable.</t>
  </si>
  <si>
    <t>3. Market Testing &amp; Elasticity Learning</t>
  </si>
  <si>
    <t>Initial pricing helps gauge customer willingness to pay.</t>
  </si>
  <si>
    <t>Real-world data refines demand curves and informs future pricing decisions.</t>
  </si>
  <si>
    <t>4. Inventory &amp; Supply Chain Management</t>
  </si>
  <si>
    <t>Early high pricing can moderate demand while production scales up.</t>
  </si>
  <si>
    <t>It prevents stockouts and allows smoother operational ramp-up.</t>
  </si>
  <si>
    <t>5. Complementary Offerings or Bundles</t>
  </si>
  <si>
    <t>Sprint may be part of a larger ecosystem (e.g., subscription, accessories).</t>
  </si>
  <si>
    <t>High initial pricing could subsidize or offset costs elsewhere.</t>
  </si>
  <si>
    <t>6. Promotional Flexibility</t>
  </si>
  <si>
    <t>Starting high gives room for timed promotions, seasonal discounts, or loyalty incentives.</t>
  </si>
  <si>
    <t>It creates a pricing narrative: “Now only $12.99!” feels more compelling than starting at $12.99.</t>
  </si>
  <si>
    <t xml:space="preserve"> Strategic Reasons for High Initial Pricing</t>
  </si>
  <si>
    <t>Why Not Start at the Optimal Price?</t>
  </si>
  <si>
    <r>
      <t xml:space="preserve">Because </t>
    </r>
    <r>
      <rPr>
        <b/>
        <sz val="11"/>
        <color theme="1"/>
        <rFont val="Calibri"/>
        <family val="2"/>
        <scheme val="minor"/>
      </rPr>
      <t>optimal pricing for profit</t>
    </r>
    <r>
      <rPr>
        <sz val="11"/>
        <color theme="1"/>
        <rFont val="Calibri"/>
        <family val="2"/>
        <scheme val="minor"/>
      </rPr>
      <t xml:space="preserve"> is often a long-term play. Companies may prioritize:</t>
    </r>
  </si>
  <si>
    <r>
      <t>Strategic positioning</t>
    </r>
    <r>
      <rPr>
        <sz val="11"/>
        <color theme="1"/>
        <rFont val="Calibri"/>
        <family val="2"/>
        <scheme val="minor"/>
      </rPr>
      <t xml:space="preserve"> over immediate profit</t>
    </r>
  </si>
  <si>
    <r>
      <t>Customer segmentation</t>
    </r>
    <r>
      <rPr>
        <sz val="11"/>
        <color theme="1"/>
        <rFont val="Calibri"/>
        <family val="2"/>
        <scheme val="minor"/>
      </rPr>
      <t xml:space="preserve"> (early adopters vs. mass market)</t>
    </r>
  </si>
  <si>
    <r>
      <t>Brand equity</t>
    </r>
    <r>
      <rPr>
        <sz val="11"/>
        <color theme="1"/>
        <rFont val="Calibri"/>
        <family val="2"/>
        <scheme val="minor"/>
      </rPr>
      <t xml:space="preserve"> and long-term value perception</t>
    </r>
  </si>
  <si>
    <t>So while your model shows $13.50 as the optimal price for profit, Sprint may be playing a broader game—balancing revenue, brand, and market dynamics.</t>
  </si>
  <si>
    <t>Test Price</t>
  </si>
  <si>
    <t>Current Demand</t>
  </si>
  <si>
    <t>Demand Formula</t>
  </si>
  <si>
    <t>Capped Demand</t>
  </si>
  <si>
    <t>Strategic Insights</t>
  </si>
  <si>
    <r>
      <t>Dress Shoes:</t>
    </r>
    <r>
      <rPr>
        <sz val="11"/>
        <color theme="1"/>
        <rFont val="Calibri"/>
        <family val="2"/>
        <scheme val="minor"/>
      </rPr>
      <t xml:space="preserve"> Profit is constrained by production capacity (750 units/month). The optimal price of $250 maximizes profit within that cap. Consider expanding capacity if demand exceeds supply.</t>
    </r>
  </si>
  <si>
    <r>
      <t>Belt:</t>
    </r>
    <r>
      <rPr>
        <sz val="11"/>
        <color theme="1"/>
        <rFont val="Calibri"/>
        <family val="2"/>
        <scheme val="minor"/>
      </rPr>
      <t xml:space="preserve"> Extremely high elasticity and low unit cost make this product highly scalable. The optimal price of $100 yields massive profit due to volume. However, validate whether demand of over 1 million units/month is realistic or inflated by elasticity assumptions.</t>
    </r>
  </si>
  <si>
    <r>
      <t>Cuff Links:</t>
    </r>
    <r>
      <rPr>
        <sz val="11"/>
        <color theme="1"/>
        <rFont val="Calibri"/>
        <family val="2"/>
        <scheme val="minor"/>
      </rPr>
      <t xml:space="preserve"> At $130, the product balances premium pricing with moderate demand. Profit/unit is strong, and total profit is healthy. This supports a luxury positioning.</t>
    </r>
  </si>
  <si>
    <r>
      <t>Watch:</t>
    </r>
    <r>
      <rPr>
        <sz val="11"/>
        <color theme="1"/>
        <rFont val="Calibri"/>
        <family val="2"/>
        <scheme val="minor"/>
      </rPr>
      <t xml:space="preserve"> The optimal price of $300 yields high profit/unit and strong demand. This suggests potential for premium branding and bundling with other accessories.</t>
    </r>
  </si>
  <si>
    <t>Recommendation</t>
  </si>
  <si>
    <r>
      <t>Maintain high pricing</t>
    </r>
    <r>
      <rPr>
        <sz val="11"/>
        <color theme="1"/>
        <rFont val="Calibri"/>
        <family val="2"/>
        <scheme val="minor"/>
      </rPr>
      <t xml:space="preserve"> for premium items like </t>
    </r>
    <r>
      <rPr>
        <b/>
        <sz val="11"/>
        <color theme="1"/>
        <rFont val="Calibri"/>
        <family val="2"/>
        <scheme val="minor"/>
      </rPr>
      <t>Dress Shoes, Cuff Links, and Watches</t>
    </r>
    <r>
      <rPr>
        <sz val="11"/>
        <color theme="1"/>
        <rFont val="Calibri"/>
        <family val="2"/>
        <scheme val="minor"/>
      </rPr>
      <t>, as they deliver strong margins and align with luxury positioning.</t>
    </r>
  </si>
  <si>
    <r>
      <t>Reassess Belt elasticity</t>
    </r>
    <r>
      <rPr>
        <sz val="11"/>
        <color theme="1"/>
        <rFont val="Calibri"/>
        <family val="2"/>
        <scheme val="minor"/>
      </rPr>
      <t>—the model suggests explosive demand, which may not be realistic. Consider testing with lower elasticity or market caps.</t>
    </r>
  </si>
  <si>
    <r>
      <t>Expand production capacity</t>
    </r>
    <r>
      <rPr>
        <sz val="11"/>
        <color theme="1"/>
        <rFont val="Calibri"/>
        <family val="2"/>
        <scheme val="minor"/>
      </rPr>
      <t xml:space="preserve"> for Dress Shoes if feasible, as demand exceeds current limits.</t>
    </r>
  </si>
  <si>
    <r>
      <t>Bundle opportunities:</t>
    </r>
    <r>
      <rPr>
        <sz val="11"/>
        <color theme="1"/>
        <rFont val="Calibri"/>
        <family val="2"/>
        <scheme val="minor"/>
      </rPr>
      <t xml:space="preserve"> Consider bundling high-margin items (e.g., Watch + Cuff Links) to increase average order value and customer retention.</t>
    </r>
  </si>
  <si>
    <t>Mark up price</t>
  </si>
  <si>
    <t>mark up- price:</t>
  </si>
  <si>
    <t>Markup Price 30%</t>
  </si>
  <si>
    <t>Mark up profit:</t>
  </si>
  <si>
    <t>if Aldo priced 30% markup of cost than the initial then 20,250, 2,100, 9,000, 22,500 amount of money gonna reduce from the original profit respectively from dress shoes, belt, cuff links, watch.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</si>
</sst>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0.0%"/>
    <numFmt numFmtId="166" formatCode="0.000"/>
    <numFmt numFmtId="211" formatCode="0;[Red]0"/>
    <numFmt numFmtId="214" formatCode="0.00;[Red]0.00"/>
    <numFmt numFmtId="216" formatCode="#,##0;[Red]#,##0"/>
    <numFmt numFmtId="217" formatCode="&quot;$&quot;#,##0.00;[Red]&quot;$&quot;#,##0.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7" tint="-0.249977111117893"/>
      <name val="Calibri"/>
      <family val="2"/>
      <scheme val="minor"/>
    </font>
    <font>
      <b/>
      <sz val="10"/>
      <name val="Times New Roman"/>
      <family val="1"/>
    </font>
    <font>
      <b/>
      <sz val="13.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applyAlignment="1">
      <alignment horizontal="center"/>
    </xf>
    <xf numFmtId="8" fontId="0" fillId="0" borderId="0" xfId="0" applyNumberFormat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2" fillId="0" borderId="0" xfId="0" applyFont="1" applyAlignment="1">
      <alignment horizontal="left"/>
    </xf>
    <xf numFmtId="0" fontId="2" fillId="0" borderId="0" xfId="0" applyFont="1"/>
    <xf numFmtId="0" fontId="1" fillId="0" borderId="0" xfId="0" applyFont="1" applyAlignment="1">
      <alignment horizontal="center" wrapText="1"/>
    </xf>
    <xf numFmtId="44" fontId="0" fillId="0" borderId="0" xfId="2" applyFont="1"/>
    <xf numFmtId="0" fontId="0" fillId="0" borderId="0" xfId="0" applyAlignment="1">
      <alignment horizontal="left" indent="5"/>
    </xf>
    <xf numFmtId="9" fontId="0" fillId="0" borderId="0" xfId="0" applyNumberFormat="1" applyAlignment="1">
      <alignment horizontal="left" indent="5"/>
    </xf>
    <xf numFmtId="0" fontId="4" fillId="0" borderId="0" xfId="0" applyFont="1"/>
    <xf numFmtId="164" fontId="0" fillId="0" borderId="0" xfId="0" applyNumberFormat="1"/>
    <xf numFmtId="43" fontId="0" fillId="0" borderId="0" xfId="1" applyFont="1"/>
    <xf numFmtId="9" fontId="0" fillId="0" borderId="0" xfId="3" applyFont="1"/>
    <xf numFmtId="6" fontId="5" fillId="0" borderId="0" xfId="0" applyNumberFormat="1" applyFont="1" applyAlignment="1">
      <alignment wrapText="1"/>
    </xf>
    <xf numFmtId="0" fontId="1" fillId="0" borderId="0" xfId="0" applyFont="1" applyAlignment="1">
      <alignment horizontal="right"/>
    </xf>
    <xf numFmtId="1" fontId="5" fillId="0" borderId="0" xfId="0" applyNumberFormat="1" applyFont="1" applyAlignment="1">
      <alignment wrapText="1"/>
    </xf>
    <xf numFmtId="6" fontId="5" fillId="0" borderId="0" xfId="0" applyNumberFormat="1" applyFont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8" fontId="0" fillId="0" borderId="0" xfId="0" applyNumberFormat="1"/>
    <xf numFmtId="0" fontId="0" fillId="0" borderId="0" xfId="0" applyAlignment="1">
      <alignment horizontal="center" vertical="top"/>
    </xf>
    <xf numFmtId="165" fontId="0" fillId="0" borderId="0" xfId="0" applyNumberFormat="1"/>
    <xf numFmtId="1" fontId="5" fillId="0" borderId="0" xfId="0" applyNumberFormat="1" applyFont="1" applyAlignment="1">
      <alignment horizontal="right" wrapText="1" indent="3"/>
    </xf>
    <xf numFmtId="0" fontId="0" fillId="0" borderId="0" xfId="0" pivotButton="1"/>
    <xf numFmtId="8" fontId="0" fillId="0" borderId="0" xfId="0" applyNumberFormat="1" applyAlignment="1">
      <alignment horizontal="left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/>
    </xf>
    <xf numFmtId="166" fontId="0" fillId="0" borderId="0" xfId="0" applyNumberFormat="1"/>
    <xf numFmtId="2" fontId="0" fillId="0" borderId="0" xfId="0" applyNumberFormat="1"/>
    <xf numFmtId="10" fontId="0" fillId="0" borderId="0" xfId="0" applyNumberFormat="1"/>
    <xf numFmtId="0" fontId="6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7" fillId="0" borderId="0" xfId="0" applyFont="1" applyAlignment="1">
      <alignment vertical="center"/>
    </xf>
    <xf numFmtId="6" fontId="0" fillId="0" borderId="0" xfId="0" applyNumberFormat="1"/>
    <xf numFmtId="0" fontId="1" fillId="0" borderId="0" xfId="0" applyFont="1" applyAlignment="1">
      <alignment horizontal="left" wrapText="1"/>
    </xf>
    <xf numFmtId="0" fontId="0" fillId="2" borderId="0" xfId="0" applyFill="1"/>
    <xf numFmtId="8" fontId="0" fillId="3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6" fontId="0" fillId="0" borderId="0" xfId="0" applyNumberFormat="1" applyAlignment="1">
      <alignment vertical="center" wrapText="1"/>
    </xf>
    <xf numFmtId="8" fontId="0" fillId="0" borderId="0" xfId="0" applyNumberFormat="1" applyAlignment="1">
      <alignment vertical="center" wrapText="1"/>
    </xf>
    <xf numFmtId="0" fontId="1" fillId="0" borderId="0" xfId="0" applyFont="1" applyAlignment="1">
      <alignment vertical="center" wrapText="1"/>
    </xf>
    <xf numFmtId="8" fontId="1" fillId="0" borderId="0" xfId="0" applyNumberFormat="1" applyFont="1" applyAlignment="1">
      <alignment vertical="center" wrapText="1"/>
    </xf>
    <xf numFmtId="0" fontId="9" fillId="0" borderId="0" xfId="0" applyFont="1"/>
    <xf numFmtId="8" fontId="0" fillId="2" borderId="0" xfId="0" applyNumberFormat="1" applyFill="1"/>
    <xf numFmtId="8" fontId="0" fillId="4" borderId="0" xfId="0" applyNumberFormat="1" applyFill="1"/>
    <xf numFmtId="0" fontId="10" fillId="0" borderId="0" xfId="0" applyFont="1"/>
    <xf numFmtId="0" fontId="8" fillId="0" borderId="0" xfId="0" applyFont="1"/>
    <xf numFmtId="0" fontId="8" fillId="0" borderId="0" xfId="0" applyFont="1" applyAlignment="1">
      <alignment vertical="center"/>
    </xf>
    <xf numFmtId="0" fontId="0" fillId="0" borderId="0" xfId="0" applyFont="1" applyAlignment="1">
      <alignment horizontal="right"/>
    </xf>
    <xf numFmtId="6" fontId="11" fillId="0" borderId="0" xfId="0" applyNumberFormat="1" applyFont="1" applyAlignment="1">
      <alignment wrapText="1"/>
    </xf>
    <xf numFmtId="6" fontId="0" fillId="0" borderId="0" xfId="0" applyNumberFormat="1" applyFont="1" applyAlignment="1">
      <alignment horizontal="right"/>
    </xf>
    <xf numFmtId="211" fontId="11" fillId="0" borderId="0" xfId="0" applyNumberFormat="1" applyFont="1" applyAlignment="1">
      <alignment wrapText="1"/>
    </xf>
    <xf numFmtId="6" fontId="0" fillId="0" borderId="0" xfId="0" applyNumberFormat="1" applyFont="1"/>
    <xf numFmtId="3" fontId="0" fillId="0" borderId="0" xfId="0" applyNumberFormat="1"/>
    <xf numFmtId="6" fontId="0" fillId="2" borderId="0" xfId="0" applyNumberFormat="1" applyFill="1"/>
    <xf numFmtId="0" fontId="0" fillId="0" borderId="0" xfId="0" applyNumberFormat="1"/>
    <xf numFmtId="8" fontId="5" fillId="0" borderId="0" xfId="0" applyNumberFormat="1" applyFont="1" applyAlignment="1">
      <alignment horizontal="center" wrapText="1"/>
    </xf>
    <xf numFmtId="6" fontId="0" fillId="4" borderId="0" xfId="0" applyNumberFormat="1" applyFill="1"/>
    <xf numFmtId="0" fontId="0" fillId="0" borderId="0" xfId="0" applyFont="1"/>
    <xf numFmtId="164" fontId="0" fillId="5" borderId="0" xfId="0" applyNumberFormat="1" applyFill="1"/>
    <xf numFmtId="214" fontId="0" fillId="0" borderId="0" xfId="0" applyNumberFormat="1"/>
    <xf numFmtId="164" fontId="0" fillId="2" borderId="0" xfId="0" applyNumberFormat="1" applyFill="1"/>
    <xf numFmtId="0" fontId="0" fillId="6" borderId="0" xfId="0" applyFill="1"/>
    <xf numFmtId="164" fontId="0" fillId="6" borderId="0" xfId="0" applyNumberFormat="1" applyFill="1"/>
    <xf numFmtId="216" fontId="0" fillId="0" borderId="0" xfId="0" applyNumberFormat="1"/>
    <xf numFmtId="0" fontId="0" fillId="4" borderId="0" xfId="0" applyFill="1"/>
    <xf numFmtId="217" fontId="0" fillId="0" borderId="0" xfId="0" applyNumberFormat="1"/>
    <xf numFmtId="0" fontId="0" fillId="7" borderId="0" xfId="0" applyFill="1"/>
    <xf numFmtId="217" fontId="0" fillId="7" borderId="0" xfId="0" applyNumberFormat="1" applyFill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10" Type="http://schemas.openxmlformats.org/officeDocument/2006/relationships/externalLink" Target="externalLinks/externalLink7.xml"/><Relationship Id="rId19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[Homework - Week 4 - Price Max &amp; Complimentary_Pranavmekala.xlsx]Price Optimization (1)!PivotTable2</c:name>
    <c:fmtId val="1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'Price Optimization (1)'!$T$8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0.35977187226596674"/>
                  <c:y val="-0.3862489063867016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strRef>
              <c:f>'Price Optimization (1)'!$S$9:$S$12</c:f>
              <c:strCache>
                <c:ptCount val="3"/>
                <c:pt idx="0">
                  <c:v>$40.00 </c:v>
                </c:pt>
                <c:pt idx="1">
                  <c:v>$45.00 </c:v>
                </c:pt>
                <c:pt idx="2">
                  <c:v>$50.00 </c:v>
                </c:pt>
              </c:strCache>
            </c:strRef>
          </c:cat>
          <c:val>
            <c:numRef>
              <c:f>'Price Optimization (1)'!$T$9:$T$12</c:f>
              <c:numCache>
                <c:formatCode>General</c:formatCode>
                <c:ptCount val="3"/>
                <c:pt idx="0">
                  <c:v>712.66666666666663</c:v>
                </c:pt>
                <c:pt idx="1">
                  <c:v>507.63888888888891</c:v>
                </c:pt>
                <c:pt idx="2">
                  <c:v>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A6-44B2-A105-9941EE4004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2945871"/>
        <c:axId val="422946831"/>
      </c:lineChart>
      <c:catAx>
        <c:axId val="422945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946831"/>
        <c:crosses val="autoZero"/>
        <c:auto val="1"/>
        <c:lblAlgn val="ctr"/>
        <c:lblOffset val="100"/>
        <c:noMultiLvlLbl val="0"/>
      </c:catAx>
      <c:valAx>
        <c:axId val="422946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945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'Price Optimization (1)'!$D$117</c:f>
              <c:strCache>
                <c:ptCount val="1"/>
                <c:pt idx="0">
                  <c:v>Price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'Price Optimization (1)'!$D$118:$D$137</c:f>
              <c:numCache>
                <c:formatCode>"$"#,##0_);[Red]\("$"#,##0\)</c:formatCode>
                <c:ptCount val="2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AD-4AEF-89F0-7D5AC963F25C}"/>
            </c:ext>
          </c:extLst>
        </c:ser>
        <c:ser>
          <c:idx val="1"/>
          <c:order val="1"/>
          <c:tx>
            <c:strRef>
              <c:f>'Price Optimization (1)'!$F$117</c:f>
              <c:strCache>
                <c:ptCount val="1"/>
                <c:pt idx="0">
                  <c:v>Demand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>
                    <a:alpha val="9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3716535433070866E-2"/>
                  <c:y val="-0.6905318606007582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val>
            <c:numRef>
              <c:f>'Price Optimization (1)'!$F$118:$F$137</c:f>
              <c:numCache>
                <c:formatCode>"$"#,##0_);[Red]\("$"#,##0\)</c:formatCode>
                <c:ptCount val="20"/>
                <c:pt idx="0">
                  <c:v>7433790</c:v>
                </c:pt>
                <c:pt idx="1">
                  <c:v>6867580</c:v>
                </c:pt>
                <c:pt idx="2">
                  <c:v>6301370</c:v>
                </c:pt>
                <c:pt idx="3">
                  <c:v>5735160</c:v>
                </c:pt>
                <c:pt idx="4">
                  <c:v>5168950</c:v>
                </c:pt>
                <c:pt idx="5">
                  <c:v>4602740</c:v>
                </c:pt>
                <c:pt idx="6">
                  <c:v>4036530</c:v>
                </c:pt>
                <c:pt idx="7">
                  <c:v>3470320</c:v>
                </c:pt>
                <c:pt idx="8">
                  <c:v>2904110</c:v>
                </c:pt>
                <c:pt idx="9">
                  <c:v>2337900</c:v>
                </c:pt>
                <c:pt idx="10">
                  <c:v>1771690</c:v>
                </c:pt>
                <c:pt idx="11">
                  <c:v>1205480</c:v>
                </c:pt>
                <c:pt idx="12">
                  <c:v>639270</c:v>
                </c:pt>
                <c:pt idx="13">
                  <c:v>73060</c:v>
                </c:pt>
                <c:pt idx="14">
                  <c:v>-493150</c:v>
                </c:pt>
                <c:pt idx="15">
                  <c:v>-1059360</c:v>
                </c:pt>
                <c:pt idx="16">
                  <c:v>-1625570</c:v>
                </c:pt>
                <c:pt idx="17">
                  <c:v>-2191780</c:v>
                </c:pt>
                <c:pt idx="18">
                  <c:v>-2757990</c:v>
                </c:pt>
                <c:pt idx="19">
                  <c:v>-3324200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AD-4AEF-89F0-7D5AC963F2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0408623"/>
        <c:axId val="700405263"/>
      </c:lineChart>
      <c:catAx>
        <c:axId val="7004086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0405263"/>
        <c:crosses val="autoZero"/>
        <c:auto val="1"/>
        <c:lblAlgn val="ctr"/>
        <c:lblOffset val="100"/>
        <c:noMultiLvlLbl val="0"/>
      </c:catAx>
      <c:valAx>
        <c:axId val="700405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0408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'Price Optimization (1)'!$D$117</c:f>
              <c:strCache>
                <c:ptCount val="1"/>
                <c:pt idx="0">
                  <c:v>Price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'Price Optimization (1)'!$D$118:$D$137</c:f>
              <c:numCache>
                <c:formatCode>"$"#,##0_);[Red]\("$"#,##0\)</c:formatCode>
                <c:ptCount val="2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6F-482E-844E-3E87AA1321EB}"/>
            </c:ext>
          </c:extLst>
        </c:ser>
        <c:ser>
          <c:idx val="1"/>
          <c:order val="1"/>
          <c:tx>
            <c:strRef>
              <c:f>'Price Optimization (1)'!$E$117</c:f>
              <c:strCache>
                <c:ptCount val="1"/>
                <c:pt idx="0">
                  <c:v>Demand 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'Price Optimization (1)'!$E$118:$E$137</c:f>
              <c:numCache>
                <c:formatCode>"$"#,##0_);[Red]\("$"#,##0\)</c:formatCode>
                <c:ptCount val="20"/>
                <c:pt idx="0">
                  <c:v>38399999.999999978</c:v>
                </c:pt>
                <c:pt idx="1">
                  <c:v>1199999.9999999993</c:v>
                </c:pt>
                <c:pt idx="2">
                  <c:v>158024.69135802469</c:v>
                </c:pt>
                <c:pt idx="3">
                  <c:v>37499.999999999978</c:v>
                </c:pt>
                <c:pt idx="4">
                  <c:v>12288</c:v>
                </c:pt>
                <c:pt idx="5">
                  <c:v>4938.2716049382716</c:v>
                </c:pt>
                <c:pt idx="6">
                  <c:v>2284.7623014220271</c:v>
                </c:pt>
                <c:pt idx="7">
                  <c:v>1171.8749999999993</c:v>
                </c:pt>
                <c:pt idx="8">
                  <c:v>650.30737184372288</c:v>
                </c:pt>
                <c:pt idx="9">
                  <c:v>384</c:v>
                </c:pt>
                <c:pt idx="10">
                  <c:v>238.43378805471548</c:v>
                </c:pt>
                <c:pt idx="11">
                  <c:v>154.32098765432099</c:v>
                </c:pt>
                <c:pt idx="12">
                  <c:v>103.42236454767526</c:v>
                </c:pt>
                <c:pt idx="13">
                  <c:v>71.398821919438348</c:v>
                </c:pt>
                <c:pt idx="14">
                  <c:v>50.567901234567906</c:v>
                </c:pt>
                <c:pt idx="15">
                  <c:v>36.621093749999979</c:v>
                </c:pt>
                <c:pt idx="16">
                  <c:v>27.04497706459172</c:v>
                </c:pt>
                <c:pt idx="17">
                  <c:v>20.32210537011634</c:v>
                </c:pt>
                <c:pt idx="18">
                  <c:v>15.508265218797796</c:v>
                </c:pt>
                <c:pt idx="19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6F-482E-844E-3E87AA1321EB}"/>
            </c:ext>
          </c:extLst>
        </c:ser>
        <c:ser>
          <c:idx val="2"/>
          <c:order val="2"/>
          <c:tx>
            <c:strRef>
              <c:f>'Price Optimization (1)'!$F$117</c:f>
              <c:strCache>
                <c:ptCount val="1"/>
                <c:pt idx="0">
                  <c:v>Demand 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0622265966754156E-2"/>
                  <c:y val="-0.610363079615048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val>
            <c:numRef>
              <c:f>'Price Optimization (1)'!$F$118:$F$137</c:f>
              <c:numCache>
                <c:formatCode>"$"#,##0_);[Red]\("$"#,##0\)</c:formatCode>
                <c:ptCount val="20"/>
                <c:pt idx="0">
                  <c:v>7433790</c:v>
                </c:pt>
                <c:pt idx="1">
                  <c:v>6867580</c:v>
                </c:pt>
                <c:pt idx="2">
                  <c:v>6301370</c:v>
                </c:pt>
                <c:pt idx="3">
                  <c:v>5735160</c:v>
                </c:pt>
                <c:pt idx="4">
                  <c:v>5168950</c:v>
                </c:pt>
                <c:pt idx="5">
                  <c:v>4602740</c:v>
                </c:pt>
                <c:pt idx="6">
                  <c:v>4036530</c:v>
                </c:pt>
                <c:pt idx="7">
                  <c:v>3470320</c:v>
                </c:pt>
                <c:pt idx="8">
                  <c:v>2904110</c:v>
                </c:pt>
                <c:pt idx="9">
                  <c:v>2337900</c:v>
                </c:pt>
                <c:pt idx="10">
                  <c:v>1771690</c:v>
                </c:pt>
                <c:pt idx="11">
                  <c:v>1205480</c:v>
                </c:pt>
                <c:pt idx="12">
                  <c:v>639270</c:v>
                </c:pt>
                <c:pt idx="13">
                  <c:v>73060</c:v>
                </c:pt>
                <c:pt idx="14">
                  <c:v>-493150</c:v>
                </c:pt>
                <c:pt idx="15">
                  <c:v>-1059360</c:v>
                </c:pt>
                <c:pt idx="16">
                  <c:v>-1625570</c:v>
                </c:pt>
                <c:pt idx="17">
                  <c:v>-2191780</c:v>
                </c:pt>
                <c:pt idx="18">
                  <c:v>-2757990</c:v>
                </c:pt>
                <c:pt idx="19">
                  <c:v>-3324200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46F-482E-844E-3E87AA1321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6781375"/>
        <c:axId val="1156778495"/>
      </c:lineChart>
      <c:catAx>
        <c:axId val="11567813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778495"/>
        <c:crosses val="autoZero"/>
        <c:auto val="1"/>
        <c:lblAlgn val="ctr"/>
        <c:lblOffset val="100"/>
        <c:noMultiLvlLbl val="0"/>
      </c:catAx>
      <c:valAx>
        <c:axId val="1156778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781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'Price Optimization (2)'!$A$2</c:f>
              <c:strCache>
                <c:ptCount val="1"/>
                <c:pt idx="0">
                  <c:v>Price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val>
            <c:numRef>
              <c:f>'Price Optimization (2)'!$A$3:$A$6</c:f>
              <c:numCache>
                <c:formatCode>"$"#,##0.00_);[Red]\("$"#,##0.00\)</c:formatCode>
                <c:ptCount val="4"/>
                <c:pt idx="0">
                  <c:v>13.5</c:v>
                </c:pt>
                <c:pt idx="1">
                  <c:v>14</c:v>
                </c:pt>
                <c:pt idx="2">
                  <c:v>14.5</c:v>
                </c:pt>
                <c:pt idx="3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A0-4CD9-8426-6A49E2314B7D}"/>
            </c:ext>
          </c:extLst>
        </c:ser>
        <c:ser>
          <c:idx val="1"/>
          <c:order val="1"/>
          <c:tx>
            <c:strRef>
              <c:f>'Price Optimization (2)'!$B$2</c:f>
              <c:strCache>
                <c:ptCount val="1"/>
                <c:pt idx="0">
                  <c:v>Demand
(x10,000)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0737882764654418"/>
                  <c:y val="-0.5699825021872265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val>
            <c:numRef>
              <c:f>'Price Optimization (2)'!$B$3:$B$6</c:f>
              <c:numCache>
                <c:formatCode>0</c:formatCode>
                <c:ptCount val="4"/>
                <c:pt idx="0">
                  <c:v>4930000</c:v>
                </c:pt>
                <c:pt idx="1">
                  <c:v>1950000</c:v>
                </c:pt>
                <c:pt idx="2">
                  <c:v>1000000</c:v>
                </c:pt>
                <c:pt idx="3">
                  <c:v>500000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A0-4CD9-8426-6A49E2314B7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40483583"/>
        <c:axId val="1240479743"/>
      </c:lineChart>
      <c:catAx>
        <c:axId val="12404835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0479743"/>
        <c:crosses val="autoZero"/>
        <c:auto val="1"/>
        <c:lblAlgn val="ctr"/>
        <c:lblOffset val="100"/>
        <c:noMultiLvlLbl val="0"/>
      </c:catAx>
      <c:valAx>
        <c:axId val="1240479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0483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715201224846894"/>
          <c:y val="0.77256780402449698"/>
          <c:w val="0.5506957567804025"/>
          <c:h val="0.1394692330125400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327660</xdr:colOff>
      <xdr:row>12</xdr:row>
      <xdr:rowOff>152400</xdr:rowOff>
    </xdr:from>
    <xdr:to>
      <xdr:col>22</xdr:col>
      <xdr:colOff>167640</xdr:colOff>
      <xdr:row>25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EB0B73-0AE4-B123-0B7A-0AB2F68323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754056</xdr:colOff>
      <xdr:row>116</xdr:row>
      <xdr:rowOff>177218</xdr:rowOff>
    </xdr:from>
    <xdr:to>
      <xdr:col>12</xdr:col>
      <xdr:colOff>435515</xdr:colOff>
      <xdr:row>131</xdr:row>
      <xdr:rowOff>143732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1946CAC-EA65-0DA5-1F2F-19F08B3FEE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782053</xdr:colOff>
      <xdr:row>134</xdr:row>
      <xdr:rowOff>45453</xdr:rowOff>
    </xdr:from>
    <xdr:to>
      <xdr:col>12</xdr:col>
      <xdr:colOff>447842</xdr:colOff>
      <xdr:row>148</xdr:row>
      <xdr:rowOff>21389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CDF3240-850D-93FD-7A55-C67F52BB66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354330</xdr:colOff>
      <xdr:row>8</xdr:row>
      <xdr:rowOff>68580</xdr:rowOff>
    </xdr:from>
    <xdr:to>
      <xdr:col>9</xdr:col>
      <xdr:colOff>262890</xdr:colOff>
      <xdr:row>23</xdr:row>
      <xdr:rowOff>68580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BF4491F-1F04-A118-64A6-9D348A1FD9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ebsteru-my.sharepoint.com/Users/rhineeri/Documents/Webster%20Classes/Spr%20'18/MRKT%205895%20-%20Marketing%20Analytics/Final%20Exams/hughesstephen_late_3949452_57432120_Final%20Exam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ebsteru-my.sharepoint.com/Users/rhineeri/Documents/Webster%20Classes/Spr%20'18/MRKT%205895%20-%20Marketing%20Analytics/Final%20Exams/floresjacob_late_5180862_57439582_Final%20Exam%20(Autosaved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ebsteru-my.sharepoint.com/Users/jeffreysalas86/Downloads/Final%20Exam_AW%20(1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ebsteru-my.sharepoint.com/Users/jeffreysalas86/AppData/Local/Temp/Temp1_Excel%20Files%20(1).zip/Chapter%202%20Excel%20Files/Chapter2charts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hineseinter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ebsteru-my.sharepoint.com/Users/rhineeri/Documents/Webster%20Classes/MRKT%205895%20-%20Mkt%20Analytics/Exam%20Material/Final%20Exam%20-%20Answer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ebsteru-my.sharepoint.com/Users/winston.ADS/Documents/nov11/retailwinter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ebsteru-my.sharepoint.com/Users/winston/AppData/Local/Microsoft/Windows/Temporary%20Internet%20Files/Content.IE5/VPCODKB2/hw08/K509fall07hw4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ebsteru-my.sharepoint.com/Users/rhineeri/Documents/Webster%20Classes/MRKT%205895%20-%20Mkt%20Analytics/CLV%20Template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ebsteru-my.sharepoint.com/Users/winston/AppData/Local/Microsoft/Windows/Temporary%20Internet%20Files/Content.IE5/VPCODKB2/Old%20C%20drive/execmodule/execmod3asses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ebsteru-my.sharepoint.com/Users/winston/AppData/Local/Microsoft/Windows/Temporary%20Internet%20Files/Content.IE5/VPCODKB2/k510temp/solhw3k507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ebsteru-my.sharepoint.com/Users/rhineeri/Documents/Webster%20Classes/Spr%20'18/MRKT%205895%20-%20Marketing%20Analytics/Final%20Exams/danieldeanna_late_5187794_57433834_DeAnnaDaniel_FinalExam_MRKT589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ap A &amp; B"/>
      <sheetName val="Product A &amp; B"/>
      <sheetName val="Multiple Products"/>
      <sheetName val="Conjoint"/>
      <sheetName val="Trend &amp; Seasonality a"/>
      <sheetName val="Trend &amp; Seasonality b"/>
      <sheetName val="Single &amp; Multiple Pricing"/>
      <sheetName val="S-curve"/>
      <sheetName val="RFM"/>
      <sheetName val="Cluster"/>
      <sheetName val="MDS"/>
      <sheetName val="CLV"/>
      <sheetName val="Forecast"/>
      <sheetName val="Point Sheet"/>
    </sheetNames>
    <sheetDataSet>
      <sheetData sheetId="0" refreshError="1">
        <row r="12">
          <cell r="W12">
            <v>1</v>
          </cell>
        </row>
        <row r="13">
          <cell r="W13">
            <v>2.0031695573773529</v>
          </cell>
        </row>
        <row r="14">
          <cell r="W14">
            <v>5.3963500000000071</v>
          </cell>
        </row>
        <row r="133">
          <cell r="N133" t="str">
            <v>Customer</v>
          </cell>
          <cell r="O133" t="str">
            <v>Soap Ingredience</v>
          </cell>
          <cell r="P133" t="str">
            <v>Soap Fragrance</v>
          </cell>
          <cell r="Q133" t="str">
            <v>Color Options</v>
          </cell>
          <cell r="R133" t="str">
            <v>z Ingredients</v>
          </cell>
          <cell r="S133"/>
          <cell r="T133" t="str">
            <v>z Fragrance</v>
          </cell>
          <cell r="U133" t="str">
            <v>z Color</v>
          </cell>
        </row>
        <row r="134">
          <cell r="N134">
            <v>1</v>
          </cell>
          <cell r="O134">
            <v>5</v>
          </cell>
          <cell r="P134">
            <v>5</v>
          </cell>
          <cell r="Q134">
            <v>2</v>
          </cell>
          <cell r="R134">
            <v>0.49614331465336126</v>
          </cell>
          <cell r="T134">
            <v>0.59271310737004301</v>
          </cell>
          <cell r="U134">
            <v>-1.0614362781511688</v>
          </cell>
        </row>
        <row r="135">
          <cell r="N135">
            <v>2</v>
          </cell>
          <cell r="O135">
            <v>7</v>
          </cell>
          <cell r="P135">
            <v>5</v>
          </cell>
          <cell r="Q135">
            <v>1</v>
          </cell>
          <cell r="R135">
            <v>1.5510065782406881</v>
          </cell>
          <cell r="T135">
            <v>0.59271310737004301</v>
          </cell>
          <cell r="U135">
            <v>-1.6131961055601465</v>
          </cell>
        </row>
        <row r="136">
          <cell r="N136">
            <v>3</v>
          </cell>
          <cell r="O136">
            <v>3</v>
          </cell>
          <cell r="P136">
            <v>5</v>
          </cell>
          <cell r="Q136">
            <v>4</v>
          </cell>
          <cell r="R136">
            <v>-0.5587199489339657</v>
          </cell>
          <cell r="T136">
            <v>0.59271310737004301</v>
          </cell>
          <cell r="U136">
            <v>4.2083376666786312E-2</v>
          </cell>
        </row>
        <row r="137">
          <cell r="N137">
            <v>4</v>
          </cell>
          <cell r="O137">
            <v>4</v>
          </cell>
          <cell r="P137">
            <v>5</v>
          </cell>
          <cell r="Q137">
            <v>4</v>
          </cell>
          <cell r="R137">
            <v>-3.1288317140302224E-2</v>
          </cell>
          <cell r="T137">
            <v>0.59271310737004301</v>
          </cell>
          <cell r="U137">
            <v>4.2083376666786312E-2</v>
          </cell>
        </row>
        <row r="138">
          <cell r="N138">
            <v>5</v>
          </cell>
          <cell r="O138">
            <v>6</v>
          </cell>
          <cell r="P138">
            <v>5</v>
          </cell>
          <cell r="Q138">
            <v>2</v>
          </cell>
          <cell r="R138">
            <v>1.0235749464470247</v>
          </cell>
          <cell r="T138">
            <v>0.59271310737004301</v>
          </cell>
          <cell r="U138">
            <v>-1.0614362781511688</v>
          </cell>
        </row>
        <row r="139">
          <cell r="N139">
            <v>6</v>
          </cell>
          <cell r="O139">
            <v>5</v>
          </cell>
          <cell r="P139">
            <v>6</v>
          </cell>
          <cell r="Q139">
            <v>5</v>
          </cell>
          <cell r="R139">
            <v>0.49614331465336126</v>
          </cell>
          <cell r="T139">
            <v>1.1185788718036149</v>
          </cell>
          <cell r="U139">
            <v>0.59384320407576385</v>
          </cell>
        </row>
        <row r="140">
          <cell r="N140">
            <v>7</v>
          </cell>
          <cell r="O140">
            <v>3</v>
          </cell>
          <cell r="P140">
            <v>1</v>
          </cell>
          <cell r="Q140">
            <v>7</v>
          </cell>
          <cell r="R140">
            <v>-0.5587199489339657</v>
          </cell>
          <cell r="T140">
            <v>-1.5107499503642448</v>
          </cell>
          <cell r="U140">
            <v>1.6973628588937191</v>
          </cell>
        </row>
        <row r="141">
          <cell r="N141">
            <v>8</v>
          </cell>
          <cell r="O141">
            <v>6</v>
          </cell>
          <cell r="P141">
            <v>3</v>
          </cell>
          <cell r="Q141">
            <v>2</v>
          </cell>
          <cell r="R141">
            <v>1.0235749464470247</v>
          </cell>
          <cell r="T141">
            <v>-0.45901842149710087</v>
          </cell>
          <cell r="U141">
            <v>-1.0614362781511688</v>
          </cell>
        </row>
        <row r="142">
          <cell r="N142">
            <v>9</v>
          </cell>
          <cell r="O142">
            <v>7</v>
          </cell>
          <cell r="P142">
            <v>5</v>
          </cell>
          <cell r="Q142">
            <v>3</v>
          </cell>
          <cell r="R142">
            <v>1.5510065782406881</v>
          </cell>
          <cell r="T142">
            <v>0.59271310737004301</v>
          </cell>
          <cell r="U142">
            <v>-0.50967645074219126</v>
          </cell>
        </row>
        <row r="143">
          <cell r="N143">
            <v>10</v>
          </cell>
          <cell r="O143">
            <v>5</v>
          </cell>
          <cell r="P143">
            <v>3</v>
          </cell>
          <cell r="Q143">
            <v>2</v>
          </cell>
          <cell r="R143">
            <v>0.49614331465336126</v>
          </cell>
          <cell r="T143">
            <v>-0.45901842149710087</v>
          </cell>
          <cell r="U143">
            <v>-1.0614362781511688</v>
          </cell>
        </row>
        <row r="144">
          <cell r="N144">
            <v>11</v>
          </cell>
          <cell r="O144">
            <v>5</v>
          </cell>
          <cell r="P144">
            <v>6</v>
          </cell>
          <cell r="Q144">
            <v>4</v>
          </cell>
          <cell r="R144">
            <v>0.49614331465336126</v>
          </cell>
          <cell r="T144">
            <v>1.1185788718036149</v>
          </cell>
          <cell r="U144">
            <v>4.2083376666786312E-2</v>
          </cell>
        </row>
        <row r="145">
          <cell r="N145">
            <v>12</v>
          </cell>
          <cell r="O145">
            <v>3</v>
          </cell>
          <cell r="P145">
            <v>7</v>
          </cell>
          <cell r="Q145">
            <v>5</v>
          </cell>
          <cell r="R145">
            <v>-0.5587199489339657</v>
          </cell>
          <cell r="T145">
            <v>1.644444636237187</v>
          </cell>
          <cell r="U145">
            <v>0.59384320407576385</v>
          </cell>
        </row>
        <row r="146">
          <cell r="N146">
            <v>13</v>
          </cell>
          <cell r="O146">
            <v>2</v>
          </cell>
          <cell r="P146">
            <v>3</v>
          </cell>
          <cell r="Q146">
            <v>7</v>
          </cell>
          <cell r="R146">
            <v>-1.0861515807276292</v>
          </cell>
          <cell r="T146">
            <v>-0.45901842149710087</v>
          </cell>
          <cell r="U146">
            <v>1.6973628588937191</v>
          </cell>
        </row>
        <row r="147">
          <cell r="N147">
            <v>14</v>
          </cell>
          <cell r="O147">
            <v>3</v>
          </cell>
          <cell r="P147">
            <v>7</v>
          </cell>
          <cell r="Q147">
            <v>5</v>
          </cell>
          <cell r="R147">
            <v>-0.5587199489339657</v>
          </cell>
          <cell r="T147">
            <v>1.644444636237187</v>
          </cell>
          <cell r="U147">
            <v>0.59384320407576385</v>
          </cell>
        </row>
        <row r="148">
          <cell r="N148">
            <v>15</v>
          </cell>
          <cell r="O148">
            <v>5</v>
          </cell>
          <cell r="P148">
            <v>6</v>
          </cell>
          <cell r="Q148">
            <v>5</v>
          </cell>
          <cell r="R148">
            <v>0.49614331465336126</v>
          </cell>
          <cell r="T148">
            <v>1.1185788718036149</v>
          </cell>
          <cell r="U148">
            <v>0.59384320407576385</v>
          </cell>
        </row>
        <row r="149">
          <cell r="N149">
            <v>16</v>
          </cell>
          <cell r="O149">
            <v>5</v>
          </cell>
          <cell r="P149">
            <v>5</v>
          </cell>
          <cell r="Q149">
            <v>1</v>
          </cell>
          <cell r="R149">
            <v>0.49614331465336126</v>
          </cell>
          <cell r="T149">
            <v>0.59271310737004301</v>
          </cell>
          <cell r="U149">
            <v>-1.6131961055601465</v>
          </cell>
        </row>
        <row r="150">
          <cell r="N150">
            <v>17</v>
          </cell>
          <cell r="O150">
            <v>4</v>
          </cell>
          <cell r="P150">
            <v>7</v>
          </cell>
          <cell r="Q150">
            <v>5</v>
          </cell>
          <cell r="R150">
            <v>-3.1288317140302224E-2</v>
          </cell>
          <cell r="T150">
            <v>1.644444636237187</v>
          </cell>
          <cell r="U150">
            <v>0.59384320407576385</v>
          </cell>
        </row>
        <row r="151">
          <cell r="N151">
            <v>18</v>
          </cell>
          <cell r="O151">
            <v>4</v>
          </cell>
          <cell r="P151">
            <v>6</v>
          </cell>
          <cell r="Q151">
            <v>5</v>
          </cell>
          <cell r="R151">
            <v>-3.1288317140302224E-2</v>
          </cell>
          <cell r="T151">
            <v>1.1185788718036149</v>
          </cell>
          <cell r="U151">
            <v>0.59384320407576385</v>
          </cell>
        </row>
        <row r="152">
          <cell r="N152">
            <v>19</v>
          </cell>
          <cell r="O152">
            <v>3</v>
          </cell>
          <cell r="P152">
            <v>5</v>
          </cell>
          <cell r="Q152">
            <v>3</v>
          </cell>
          <cell r="R152">
            <v>-0.5587199489339657</v>
          </cell>
          <cell r="T152">
            <v>0.59271310737004301</v>
          </cell>
          <cell r="U152">
            <v>-0.50967645074219126</v>
          </cell>
        </row>
        <row r="153">
          <cell r="N153">
            <v>20</v>
          </cell>
          <cell r="O153">
            <v>1</v>
          </cell>
          <cell r="P153">
            <v>1</v>
          </cell>
          <cell r="Q153">
            <v>7</v>
          </cell>
          <cell r="R153">
            <v>-1.6135832125212926</v>
          </cell>
          <cell r="T153">
            <v>-1.5107499503642448</v>
          </cell>
          <cell r="U153">
            <v>1.6973628588937191</v>
          </cell>
        </row>
        <row r="154">
          <cell r="N154">
            <v>21</v>
          </cell>
          <cell r="O154">
            <v>3</v>
          </cell>
          <cell r="P154">
            <v>1</v>
          </cell>
          <cell r="Q154">
            <v>5</v>
          </cell>
          <cell r="R154">
            <v>-0.5587199489339657</v>
          </cell>
          <cell r="T154">
            <v>-1.5107499503642448</v>
          </cell>
          <cell r="U154">
            <v>0.59384320407576385</v>
          </cell>
        </row>
        <row r="155">
          <cell r="N155">
            <v>22</v>
          </cell>
          <cell r="O155">
            <v>4</v>
          </cell>
          <cell r="P155">
            <v>7</v>
          </cell>
          <cell r="Q155">
            <v>3</v>
          </cell>
          <cell r="R155">
            <v>-3.1288317140302224E-2</v>
          </cell>
          <cell r="T155">
            <v>1.644444636237187</v>
          </cell>
          <cell r="U155">
            <v>-0.50967645074219126</v>
          </cell>
        </row>
        <row r="156">
          <cell r="N156">
            <v>23</v>
          </cell>
          <cell r="O156">
            <v>5</v>
          </cell>
          <cell r="P156">
            <v>5</v>
          </cell>
          <cell r="Q156">
            <v>4</v>
          </cell>
          <cell r="R156">
            <v>0.49614331465336126</v>
          </cell>
          <cell r="T156">
            <v>0.59271310737004301</v>
          </cell>
          <cell r="U156">
            <v>4.2083376666786312E-2</v>
          </cell>
        </row>
        <row r="157">
          <cell r="N157">
            <v>24</v>
          </cell>
          <cell r="O157">
            <v>6</v>
          </cell>
          <cell r="P157">
            <v>3</v>
          </cell>
          <cell r="Q157">
            <v>3</v>
          </cell>
          <cell r="R157">
            <v>1.0235749464470247</v>
          </cell>
          <cell r="T157">
            <v>-0.45901842149710087</v>
          </cell>
          <cell r="U157">
            <v>-0.50967645074219126</v>
          </cell>
        </row>
        <row r="158">
          <cell r="N158">
            <v>25</v>
          </cell>
          <cell r="O158">
            <v>3</v>
          </cell>
          <cell r="P158">
            <v>2</v>
          </cell>
          <cell r="Q158">
            <v>5</v>
          </cell>
          <cell r="R158">
            <v>-0.5587199489339657</v>
          </cell>
          <cell r="T158">
            <v>-0.98488418593067284</v>
          </cell>
          <cell r="U158">
            <v>0.59384320407576385</v>
          </cell>
        </row>
        <row r="159">
          <cell r="N159">
            <v>26</v>
          </cell>
          <cell r="O159">
            <v>3</v>
          </cell>
          <cell r="P159">
            <v>2</v>
          </cell>
          <cell r="Q159">
            <v>5</v>
          </cell>
          <cell r="R159">
            <v>-0.5587199489339657</v>
          </cell>
          <cell r="T159">
            <v>-0.98488418593067284</v>
          </cell>
          <cell r="U159">
            <v>0.59384320407576385</v>
          </cell>
        </row>
        <row r="160">
          <cell r="N160">
            <v>27</v>
          </cell>
          <cell r="O160">
            <v>2</v>
          </cell>
          <cell r="P160">
            <v>2</v>
          </cell>
          <cell r="Q160">
            <v>7</v>
          </cell>
          <cell r="R160">
            <v>-1.0861515807276292</v>
          </cell>
          <cell r="T160">
            <v>-0.98488418593067284</v>
          </cell>
          <cell r="U160">
            <v>1.6973628588937191</v>
          </cell>
        </row>
        <row r="161">
          <cell r="N161">
            <v>28</v>
          </cell>
          <cell r="O161">
            <v>5</v>
          </cell>
          <cell r="P161">
            <v>5</v>
          </cell>
          <cell r="Q161">
            <v>3</v>
          </cell>
          <cell r="R161">
            <v>0.49614331465336126</v>
          </cell>
          <cell r="T161">
            <v>0.59271310737004301</v>
          </cell>
          <cell r="U161">
            <v>-0.50967645074219126</v>
          </cell>
        </row>
        <row r="162">
          <cell r="N162">
            <v>29</v>
          </cell>
          <cell r="O162">
            <v>3</v>
          </cell>
          <cell r="P162">
            <v>2</v>
          </cell>
          <cell r="Q162">
            <v>7</v>
          </cell>
          <cell r="R162">
            <v>-0.5587199489339657</v>
          </cell>
          <cell r="T162">
            <v>-0.98488418593067284</v>
          </cell>
          <cell r="U162">
            <v>1.6973628588937191</v>
          </cell>
        </row>
        <row r="163">
          <cell r="N163">
            <v>30</v>
          </cell>
          <cell r="O163">
            <v>2</v>
          </cell>
          <cell r="P163">
            <v>1</v>
          </cell>
          <cell r="Q163">
            <v>5</v>
          </cell>
          <cell r="R163">
            <v>-1.0861515807276292</v>
          </cell>
          <cell r="T163">
            <v>-1.5107499503642448</v>
          </cell>
          <cell r="U163">
            <v>0.59384320407576385</v>
          </cell>
        </row>
        <row r="164">
          <cell r="N164">
            <v>31</v>
          </cell>
          <cell r="O164">
            <v>5</v>
          </cell>
          <cell r="P164">
            <v>5</v>
          </cell>
          <cell r="Q164">
            <v>4</v>
          </cell>
          <cell r="R164">
            <v>0.49614331465336126</v>
          </cell>
          <cell r="T164">
            <v>0.59271310737004301</v>
          </cell>
          <cell r="U164">
            <v>4.2083376666786312E-2</v>
          </cell>
        </row>
        <row r="165">
          <cell r="N165">
            <v>32</v>
          </cell>
          <cell r="O165">
            <v>6</v>
          </cell>
          <cell r="P165">
            <v>3</v>
          </cell>
          <cell r="Q165">
            <v>2</v>
          </cell>
          <cell r="R165">
            <v>1.0235749464470247</v>
          </cell>
          <cell r="T165">
            <v>-0.45901842149710087</v>
          </cell>
          <cell r="U165">
            <v>-1.0614362781511688</v>
          </cell>
        </row>
        <row r="166">
          <cell r="N166">
            <v>33</v>
          </cell>
          <cell r="O166">
            <v>5</v>
          </cell>
          <cell r="P166">
            <v>7</v>
          </cell>
          <cell r="Q166">
            <v>5</v>
          </cell>
          <cell r="R166">
            <v>0.49614331465336126</v>
          </cell>
          <cell r="T166">
            <v>1.644444636237187</v>
          </cell>
          <cell r="U166">
            <v>0.59384320407576385</v>
          </cell>
        </row>
        <row r="167">
          <cell r="N167">
            <v>34</v>
          </cell>
          <cell r="O167">
            <v>5</v>
          </cell>
          <cell r="P167">
            <v>4</v>
          </cell>
          <cell r="Q167">
            <v>1</v>
          </cell>
          <cell r="R167">
            <v>0.49614331465336126</v>
          </cell>
          <cell r="T167">
            <v>6.6847342936471071E-2</v>
          </cell>
          <cell r="U167">
            <v>-1.6131961055601465</v>
          </cell>
        </row>
        <row r="168">
          <cell r="N168">
            <v>35</v>
          </cell>
          <cell r="O168">
            <v>2</v>
          </cell>
          <cell r="P168">
            <v>2</v>
          </cell>
          <cell r="Q168">
            <v>7</v>
          </cell>
          <cell r="R168">
            <v>-1.0861515807276292</v>
          </cell>
          <cell r="T168">
            <v>-0.98488418593067284</v>
          </cell>
          <cell r="U168">
            <v>1.6973628588937191</v>
          </cell>
        </row>
        <row r="169">
          <cell r="N169">
            <v>36</v>
          </cell>
          <cell r="O169">
            <v>1</v>
          </cell>
          <cell r="P169">
            <v>1</v>
          </cell>
          <cell r="Q169">
            <v>6</v>
          </cell>
          <cell r="R169">
            <v>-1.6135832125212926</v>
          </cell>
          <cell r="T169">
            <v>-1.5107499503642448</v>
          </cell>
          <cell r="U169">
            <v>1.1456030314847414</v>
          </cell>
        </row>
        <row r="170">
          <cell r="N170">
            <v>37</v>
          </cell>
          <cell r="O170">
            <v>3</v>
          </cell>
          <cell r="P170">
            <v>1</v>
          </cell>
          <cell r="Q170">
            <v>5</v>
          </cell>
          <cell r="R170">
            <v>-0.5587199489339657</v>
          </cell>
          <cell r="T170">
            <v>-1.5107499503642448</v>
          </cell>
          <cell r="U170">
            <v>0.59384320407576385</v>
          </cell>
        </row>
        <row r="171">
          <cell r="N171">
            <v>38</v>
          </cell>
          <cell r="O171">
            <v>3</v>
          </cell>
          <cell r="P171">
            <v>6</v>
          </cell>
          <cell r="Q171">
            <v>3</v>
          </cell>
          <cell r="R171">
            <v>-0.5587199489339657</v>
          </cell>
          <cell r="T171">
            <v>1.1185788718036149</v>
          </cell>
          <cell r="U171">
            <v>-0.50967645074219126</v>
          </cell>
        </row>
        <row r="172">
          <cell r="N172">
            <v>39</v>
          </cell>
          <cell r="O172">
            <v>5</v>
          </cell>
          <cell r="P172">
            <v>7</v>
          </cell>
          <cell r="Q172">
            <v>5</v>
          </cell>
          <cell r="R172">
            <v>0.49614331465336126</v>
          </cell>
          <cell r="T172">
            <v>1.644444636237187</v>
          </cell>
          <cell r="U172">
            <v>0.59384320407576385</v>
          </cell>
        </row>
        <row r="173">
          <cell r="N173">
            <v>40</v>
          </cell>
          <cell r="O173">
            <v>3</v>
          </cell>
          <cell r="P173">
            <v>2</v>
          </cell>
          <cell r="Q173">
            <v>6</v>
          </cell>
          <cell r="R173">
            <v>-0.5587199489339657</v>
          </cell>
          <cell r="T173">
            <v>-0.98488418593067284</v>
          </cell>
          <cell r="U173">
            <v>1.1456030314847414</v>
          </cell>
        </row>
        <row r="174">
          <cell r="N174">
            <v>41</v>
          </cell>
          <cell r="O174">
            <v>5</v>
          </cell>
          <cell r="P174">
            <v>3</v>
          </cell>
          <cell r="Q174">
            <v>3</v>
          </cell>
          <cell r="R174">
            <v>0.49614331465336126</v>
          </cell>
          <cell r="T174">
            <v>-0.45901842149710087</v>
          </cell>
          <cell r="U174">
            <v>-0.50967645074219126</v>
          </cell>
        </row>
        <row r="175">
          <cell r="N175">
            <v>42</v>
          </cell>
          <cell r="O175">
            <v>3</v>
          </cell>
          <cell r="P175">
            <v>6</v>
          </cell>
          <cell r="Q175">
            <v>3</v>
          </cell>
          <cell r="R175">
            <v>-0.5587199489339657</v>
          </cell>
          <cell r="T175">
            <v>1.1185788718036149</v>
          </cell>
          <cell r="U175">
            <v>-0.50967645074219126</v>
          </cell>
        </row>
        <row r="176">
          <cell r="N176">
            <v>43</v>
          </cell>
          <cell r="O176">
            <v>4</v>
          </cell>
          <cell r="P176">
            <v>6</v>
          </cell>
          <cell r="Q176">
            <v>5</v>
          </cell>
          <cell r="R176">
            <v>-3.1288317140302224E-2</v>
          </cell>
          <cell r="T176">
            <v>1.1185788718036149</v>
          </cell>
          <cell r="U176">
            <v>0.59384320407576385</v>
          </cell>
        </row>
        <row r="177">
          <cell r="N177">
            <v>44</v>
          </cell>
          <cell r="O177">
            <v>7</v>
          </cell>
          <cell r="P177">
            <v>4</v>
          </cell>
          <cell r="Q177">
            <v>2</v>
          </cell>
          <cell r="R177">
            <v>1.5510065782406881</v>
          </cell>
          <cell r="T177">
            <v>6.6847342936471071E-2</v>
          </cell>
          <cell r="U177">
            <v>-1.0614362781511688</v>
          </cell>
        </row>
        <row r="178">
          <cell r="N178">
            <v>45</v>
          </cell>
          <cell r="O178">
            <v>4</v>
          </cell>
          <cell r="P178">
            <v>6</v>
          </cell>
          <cell r="Q178">
            <v>3</v>
          </cell>
          <cell r="R178">
            <v>-3.1288317140302224E-2</v>
          </cell>
          <cell r="T178">
            <v>1.1185788718036149</v>
          </cell>
          <cell r="U178">
            <v>-0.50967645074219126</v>
          </cell>
        </row>
        <row r="179">
          <cell r="N179">
            <v>46</v>
          </cell>
          <cell r="O179">
            <v>4</v>
          </cell>
          <cell r="P179">
            <v>7</v>
          </cell>
          <cell r="Q179">
            <v>4</v>
          </cell>
          <cell r="R179">
            <v>-3.1288317140302224E-2</v>
          </cell>
          <cell r="T179">
            <v>1.644444636237187</v>
          </cell>
          <cell r="U179">
            <v>4.2083376666786312E-2</v>
          </cell>
        </row>
        <row r="180">
          <cell r="N180">
            <v>47</v>
          </cell>
          <cell r="O180">
            <v>2</v>
          </cell>
          <cell r="P180">
            <v>3</v>
          </cell>
          <cell r="Q180">
            <v>5</v>
          </cell>
          <cell r="R180">
            <v>-1.0861515807276292</v>
          </cell>
          <cell r="T180">
            <v>-0.45901842149710087</v>
          </cell>
          <cell r="U180">
            <v>0.59384320407576385</v>
          </cell>
        </row>
        <row r="181">
          <cell r="N181">
            <v>48</v>
          </cell>
          <cell r="O181">
            <v>7</v>
          </cell>
          <cell r="P181">
            <v>3</v>
          </cell>
          <cell r="Q181">
            <v>1</v>
          </cell>
          <cell r="R181">
            <v>1.5510065782406881</v>
          </cell>
          <cell r="T181">
            <v>-0.45901842149710087</v>
          </cell>
          <cell r="U181">
            <v>-1.6131961055601465</v>
          </cell>
        </row>
        <row r="182">
          <cell r="N182">
            <v>49</v>
          </cell>
          <cell r="O182">
            <v>2</v>
          </cell>
          <cell r="P182">
            <v>2</v>
          </cell>
          <cell r="Q182">
            <v>5</v>
          </cell>
          <cell r="R182">
            <v>-1.0861515807276292</v>
          </cell>
          <cell r="T182">
            <v>-0.98488418593067284</v>
          </cell>
          <cell r="U182">
            <v>0.59384320407576385</v>
          </cell>
        </row>
        <row r="183">
          <cell r="N183">
            <v>50</v>
          </cell>
          <cell r="O183">
            <v>5</v>
          </cell>
          <cell r="P183">
            <v>3</v>
          </cell>
          <cell r="Q183">
            <v>3</v>
          </cell>
          <cell r="R183">
            <v>0.49614331465336126</v>
          </cell>
          <cell r="T183">
            <v>-0.45901842149710087</v>
          </cell>
          <cell r="U183">
            <v>-0.50967645074219126</v>
          </cell>
        </row>
        <row r="184">
          <cell r="N184">
            <v>51</v>
          </cell>
          <cell r="O184">
            <v>3</v>
          </cell>
          <cell r="P184">
            <v>3</v>
          </cell>
          <cell r="Q184">
            <v>7</v>
          </cell>
          <cell r="R184">
            <v>-0.5587199489339657</v>
          </cell>
          <cell r="T184">
            <v>-0.45901842149710087</v>
          </cell>
          <cell r="U184">
            <v>1.6973628588937191</v>
          </cell>
        </row>
        <row r="185">
          <cell r="N185">
            <v>52</v>
          </cell>
          <cell r="O185">
            <v>4</v>
          </cell>
          <cell r="P185">
            <v>6</v>
          </cell>
          <cell r="Q185">
            <v>5</v>
          </cell>
          <cell r="R185">
            <v>-3.1288317140302224E-2</v>
          </cell>
          <cell r="T185">
            <v>1.1185788718036149</v>
          </cell>
          <cell r="U185">
            <v>0.59384320407576385</v>
          </cell>
        </row>
        <row r="186">
          <cell r="N186">
            <v>53</v>
          </cell>
          <cell r="O186">
            <v>6</v>
          </cell>
          <cell r="P186">
            <v>3</v>
          </cell>
          <cell r="Q186">
            <v>2</v>
          </cell>
          <cell r="R186">
            <v>1.0235749464470247</v>
          </cell>
          <cell r="T186">
            <v>-0.45901842149710087</v>
          </cell>
          <cell r="U186">
            <v>-1.0614362781511688</v>
          </cell>
        </row>
        <row r="187">
          <cell r="N187">
            <v>54</v>
          </cell>
          <cell r="O187">
            <v>4</v>
          </cell>
          <cell r="P187">
            <v>7</v>
          </cell>
          <cell r="Q187">
            <v>4</v>
          </cell>
          <cell r="R187">
            <v>-3.1288317140302224E-2</v>
          </cell>
          <cell r="T187">
            <v>1.644444636237187</v>
          </cell>
          <cell r="U187">
            <v>4.2083376666786312E-2</v>
          </cell>
        </row>
        <row r="188">
          <cell r="N188">
            <v>55</v>
          </cell>
          <cell r="O188">
            <v>2</v>
          </cell>
          <cell r="P188">
            <v>1</v>
          </cell>
          <cell r="Q188">
            <v>5</v>
          </cell>
          <cell r="R188">
            <v>-1.0861515807276292</v>
          </cell>
          <cell r="T188">
            <v>-1.5107499503642448</v>
          </cell>
          <cell r="U188">
            <v>0.59384320407576385</v>
          </cell>
        </row>
        <row r="189">
          <cell r="N189">
            <v>56</v>
          </cell>
          <cell r="O189">
            <v>5</v>
          </cell>
          <cell r="P189">
            <v>6</v>
          </cell>
          <cell r="Q189">
            <v>5</v>
          </cell>
          <cell r="R189">
            <v>0.49614331465336126</v>
          </cell>
          <cell r="T189">
            <v>1.1185788718036149</v>
          </cell>
          <cell r="U189">
            <v>0.59384320407576385</v>
          </cell>
        </row>
        <row r="190">
          <cell r="N190">
            <v>57</v>
          </cell>
          <cell r="O190">
            <v>5</v>
          </cell>
          <cell r="P190">
            <v>4</v>
          </cell>
          <cell r="Q190">
            <v>1</v>
          </cell>
          <cell r="R190">
            <v>0.49614331465336126</v>
          </cell>
          <cell r="T190">
            <v>6.6847342936471071E-2</v>
          </cell>
          <cell r="U190">
            <v>-1.6131961055601465</v>
          </cell>
        </row>
        <row r="191">
          <cell r="N191">
            <v>58</v>
          </cell>
          <cell r="O191">
            <v>2</v>
          </cell>
          <cell r="P191">
            <v>2</v>
          </cell>
          <cell r="Q191">
            <v>5</v>
          </cell>
          <cell r="R191">
            <v>-1.0861515807276292</v>
          </cell>
          <cell r="T191">
            <v>-0.98488418593067284</v>
          </cell>
          <cell r="U191">
            <v>0.59384320407576385</v>
          </cell>
        </row>
        <row r="192">
          <cell r="N192">
            <v>59</v>
          </cell>
          <cell r="O192">
            <v>3</v>
          </cell>
          <cell r="P192">
            <v>6</v>
          </cell>
          <cell r="Q192">
            <v>3</v>
          </cell>
          <cell r="R192">
            <v>-0.5587199489339657</v>
          </cell>
          <cell r="T192">
            <v>1.1185788718036149</v>
          </cell>
          <cell r="U192">
            <v>-0.50967645074219126</v>
          </cell>
        </row>
        <row r="193">
          <cell r="N193">
            <v>60</v>
          </cell>
          <cell r="O193">
            <v>1</v>
          </cell>
          <cell r="P193">
            <v>2</v>
          </cell>
          <cell r="Q193">
            <v>5</v>
          </cell>
          <cell r="R193">
            <v>-1.6135832125212926</v>
          </cell>
          <cell r="T193">
            <v>-0.98488418593067284</v>
          </cell>
          <cell r="U193">
            <v>0.59384320407576385</v>
          </cell>
        </row>
        <row r="194">
          <cell r="N194">
            <v>61</v>
          </cell>
          <cell r="O194">
            <v>3</v>
          </cell>
          <cell r="P194">
            <v>5</v>
          </cell>
          <cell r="Q194">
            <v>3</v>
          </cell>
          <cell r="R194">
            <v>-0.5587199489339657</v>
          </cell>
          <cell r="T194">
            <v>0.59271310737004301</v>
          </cell>
          <cell r="U194">
            <v>-0.50967645074219126</v>
          </cell>
        </row>
        <row r="195">
          <cell r="N195">
            <v>62</v>
          </cell>
          <cell r="O195">
            <v>2</v>
          </cell>
          <cell r="P195">
            <v>3</v>
          </cell>
          <cell r="Q195">
            <v>7</v>
          </cell>
          <cell r="R195">
            <v>-1.0861515807276292</v>
          </cell>
          <cell r="T195">
            <v>-0.45901842149710087</v>
          </cell>
          <cell r="U195">
            <v>1.6973628588937191</v>
          </cell>
        </row>
        <row r="196">
          <cell r="N196">
            <v>63</v>
          </cell>
          <cell r="O196">
            <v>1</v>
          </cell>
          <cell r="P196">
            <v>2</v>
          </cell>
          <cell r="Q196">
            <v>6</v>
          </cell>
          <cell r="R196">
            <v>-1.6135832125212926</v>
          </cell>
          <cell r="T196">
            <v>-0.98488418593067284</v>
          </cell>
          <cell r="U196">
            <v>1.1456030314847414</v>
          </cell>
        </row>
        <row r="197">
          <cell r="N197">
            <v>64</v>
          </cell>
          <cell r="O197">
            <v>2</v>
          </cell>
          <cell r="P197">
            <v>1</v>
          </cell>
          <cell r="Q197">
            <v>5</v>
          </cell>
          <cell r="R197">
            <v>-1.0861515807276292</v>
          </cell>
          <cell r="T197">
            <v>-1.5107499503642448</v>
          </cell>
          <cell r="U197">
            <v>0.59384320407576385</v>
          </cell>
        </row>
        <row r="198">
          <cell r="N198">
            <v>65</v>
          </cell>
          <cell r="O198">
            <v>1</v>
          </cell>
          <cell r="P198">
            <v>2</v>
          </cell>
          <cell r="Q198">
            <v>7</v>
          </cell>
          <cell r="R198">
            <v>-1.6135832125212926</v>
          </cell>
          <cell r="T198">
            <v>-0.98488418593067284</v>
          </cell>
          <cell r="U198">
            <v>1.6973628588937191</v>
          </cell>
        </row>
        <row r="199">
          <cell r="N199">
            <v>66</v>
          </cell>
          <cell r="O199">
            <v>6</v>
          </cell>
          <cell r="P199">
            <v>4</v>
          </cell>
          <cell r="Q199">
            <v>1</v>
          </cell>
          <cell r="R199">
            <v>1.0235749464470247</v>
          </cell>
          <cell r="T199">
            <v>6.6847342936471071E-2</v>
          </cell>
          <cell r="U199">
            <v>-1.6131961055601465</v>
          </cell>
        </row>
        <row r="200">
          <cell r="N200">
            <v>67</v>
          </cell>
          <cell r="O200">
            <v>7</v>
          </cell>
          <cell r="P200">
            <v>4</v>
          </cell>
          <cell r="Q200">
            <v>2</v>
          </cell>
          <cell r="R200">
            <v>1.5510065782406881</v>
          </cell>
          <cell r="T200">
            <v>6.6847342936471071E-2</v>
          </cell>
          <cell r="U200">
            <v>-1.0614362781511688</v>
          </cell>
        </row>
        <row r="201">
          <cell r="N201">
            <v>68</v>
          </cell>
          <cell r="O201">
            <v>7</v>
          </cell>
          <cell r="P201">
            <v>4</v>
          </cell>
          <cell r="Q201">
            <v>1</v>
          </cell>
          <cell r="R201">
            <v>1.5510065782406881</v>
          </cell>
          <cell r="T201">
            <v>6.6847342936471071E-2</v>
          </cell>
          <cell r="U201">
            <v>-1.6131961055601465</v>
          </cell>
        </row>
        <row r="202">
          <cell r="N202">
            <v>69</v>
          </cell>
          <cell r="O202">
            <v>3</v>
          </cell>
          <cell r="P202">
            <v>6</v>
          </cell>
          <cell r="Q202">
            <v>3</v>
          </cell>
          <cell r="R202">
            <v>-0.5587199489339657</v>
          </cell>
          <cell r="T202">
            <v>1.1185788718036149</v>
          </cell>
          <cell r="U202">
            <v>-0.50967645074219126</v>
          </cell>
        </row>
        <row r="203">
          <cell r="N203">
            <v>70</v>
          </cell>
          <cell r="O203">
            <v>1</v>
          </cell>
          <cell r="P203">
            <v>1</v>
          </cell>
          <cell r="Q203">
            <v>5</v>
          </cell>
          <cell r="R203">
            <v>-1.6135832125212926</v>
          </cell>
          <cell r="T203">
            <v>-1.5107499503642448</v>
          </cell>
          <cell r="U203">
            <v>0.59384320407576385</v>
          </cell>
        </row>
        <row r="204">
          <cell r="N204">
            <v>71</v>
          </cell>
          <cell r="O204">
            <v>4</v>
          </cell>
          <cell r="P204">
            <v>7</v>
          </cell>
          <cell r="Q204">
            <v>3</v>
          </cell>
          <cell r="R204">
            <v>-3.1288317140302224E-2</v>
          </cell>
          <cell r="T204">
            <v>1.644444636237187</v>
          </cell>
          <cell r="U204">
            <v>-0.50967645074219126</v>
          </cell>
        </row>
        <row r="205">
          <cell r="N205">
            <v>72</v>
          </cell>
          <cell r="O205">
            <v>1</v>
          </cell>
          <cell r="P205">
            <v>3</v>
          </cell>
          <cell r="Q205">
            <v>6</v>
          </cell>
          <cell r="R205">
            <v>-1.6135832125212926</v>
          </cell>
          <cell r="T205">
            <v>-0.45901842149710087</v>
          </cell>
          <cell r="U205">
            <v>1.1456030314847414</v>
          </cell>
        </row>
        <row r="206">
          <cell r="N206">
            <v>73</v>
          </cell>
          <cell r="O206">
            <v>7</v>
          </cell>
          <cell r="P206">
            <v>3</v>
          </cell>
          <cell r="Q206">
            <v>1</v>
          </cell>
          <cell r="R206">
            <v>1.5510065782406881</v>
          </cell>
          <cell r="T206">
            <v>-0.45901842149710087</v>
          </cell>
          <cell r="U206">
            <v>-1.6131961055601465</v>
          </cell>
        </row>
        <row r="207">
          <cell r="N207">
            <v>74</v>
          </cell>
          <cell r="O207">
            <v>5</v>
          </cell>
          <cell r="P207">
            <v>4</v>
          </cell>
          <cell r="Q207">
            <v>2</v>
          </cell>
          <cell r="R207">
            <v>0.49614331465336126</v>
          </cell>
          <cell r="T207">
            <v>6.6847342936471071E-2</v>
          </cell>
          <cell r="U207">
            <v>-1.0614362781511688</v>
          </cell>
        </row>
        <row r="208">
          <cell r="N208">
            <v>75</v>
          </cell>
          <cell r="O208">
            <v>6</v>
          </cell>
          <cell r="P208">
            <v>4</v>
          </cell>
          <cell r="Q208">
            <v>2</v>
          </cell>
          <cell r="R208">
            <v>1.0235749464470247</v>
          </cell>
          <cell r="T208">
            <v>6.6847342936471071E-2</v>
          </cell>
          <cell r="U208">
            <v>-1.0614362781511688</v>
          </cell>
        </row>
        <row r="209">
          <cell r="N209">
            <v>76</v>
          </cell>
          <cell r="O209">
            <v>6</v>
          </cell>
          <cell r="P209">
            <v>3</v>
          </cell>
          <cell r="Q209">
            <v>1</v>
          </cell>
          <cell r="R209">
            <v>1.0235749464470247</v>
          </cell>
          <cell r="T209">
            <v>-0.45901842149710087</v>
          </cell>
          <cell r="U209">
            <v>-1.6131961055601465</v>
          </cell>
        </row>
        <row r="210">
          <cell r="N210">
            <v>77</v>
          </cell>
          <cell r="O210">
            <v>2</v>
          </cell>
          <cell r="P210">
            <v>1</v>
          </cell>
          <cell r="Q210">
            <v>7</v>
          </cell>
          <cell r="R210">
            <v>-1.0861515807276292</v>
          </cell>
          <cell r="T210">
            <v>-1.5107499503642448</v>
          </cell>
          <cell r="U210">
            <v>1.6973628588937191</v>
          </cell>
        </row>
        <row r="211">
          <cell r="N211">
            <v>78</v>
          </cell>
          <cell r="O211">
            <v>5</v>
          </cell>
          <cell r="P211">
            <v>6</v>
          </cell>
          <cell r="Q211">
            <v>4</v>
          </cell>
          <cell r="R211">
            <v>0.49614331465336126</v>
          </cell>
          <cell r="T211">
            <v>1.1185788718036149</v>
          </cell>
          <cell r="U211">
            <v>4.2083376666786312E-2</v>
          </cell>
        </row>
        <row r="212">
          <cell r="N212">
            <v>79</v>
          </cell>
          <cell r="O212">
            <v>3</v>
          </cell>
          <cell r="P212">
            <v>2</v>
          </cell>
          <cell r="Q212">
            <v>6</v>
          </cell>
          <cell r="R212">
            <v>-0.5587199489339657</v>
          </cell>
          <cell r="T212">
            <v>-0.98488418593067284</v>
          </cell>
          <cell r="U212">
            <v>1.1456030314847414</v>
          </cell>
        </row>
        <row r="213">
          <cell r="N213">
            <v>80</v>
          </cell>
          <cell r="O213">
            <v>2</v>
          </cell>
          <cell r="P213">
            <v>1</v>
          </cell>
          <cell r="Q213">
            <v>6</v>
          </cell>
          <cell r="R213">
            <v>-1.0861515807276292</v>
          </cell>
          <cell r="T213">
            <v>-1.5107499503642448</v>
          </cell>
          <cell r="U213">
            <v>1.1456030314847414</v>
          </cell>
        </row>
        <row r="214">
          <cell r="N214">
            <v>81</v>
          </cell>
          <cell r="O214">
            <v>3</v>
          </cell>
          <cell r="P214">
            <v>5</v>
          </cell>
          <cell r="Q214">
            <v>3</v>
          </cell>
          <cell r="R214">
            <v>-0.5587199489339657</v>
          </cell>
          <cell r="T214">
            <v>0.59271310737004301</v>
          </cell>
          <cell r="U214">
            <v>-0.50967645074219126</v>
          </cell>
        </row>
        <row r="215">
          <cell r="N215">
            <v>82</v>
          </cell>
          <cell r="O215">
            <v>7</v>
          </cell>
          <cell r="P215">
            <v>5</v>
          </cell>
          <cell r="Q215">
            <v>3</v>
          </cell>
          <cell r="R215">
            <v>1.5510065782406881</v>
          </cell>
          <cell r="T215">
            <v>0.59271310737004301</v>
          </cell>
          <cell r="U215">
            <v>-0.50967645074219126</v>
          </cell>
        </row>
        <row r="216">
          <cell r="N216">
            <v>83</v>
          </cell>
          <cell r="O216">
            <v>3</v>
          </cell>
          <cell r="P216">
            <v>1</v>
          </cell>
          <cell r="Q216">
            <v>6</v>
          </cell>
          <cell r="R216">
            <v>-0.5587199489339657</v>
          </cell>
          <cell r="T216">
            <v>-1.5107499503642448</v>
          </cell>
          <cell r="U216">
            <v>1.1456030314847414</v>
          </cell>
        </row>
        <row r="217">
          <cell r="N217">
            <v>84</v>
          </cell>
          <cell r="O217">
            <v>7</v>
          </cell>
          <cell r="P217">
            <v>5</v>
          </cell>
          <cell r="Q217">
            <v>3</v>
          </cell>
          <cell r="R217">
            <v>1.5510065782406881</v>
          </cell>
          <cell r="T217">
            <v>0.59271310737004301</v>
          </cell>
          <cell r="U217">
            <v>-0.50967645074219126</v>
          </cell>
        </row>
        <row r="218">
          <cell r="N218">
            <v>85</v>
          </cell>
          <cell r="O218">
            <v>7</v>
          </cell>
          <cell r="P218">
            <v>3</v>
          </cell>
          <cell r="Q218">
            <v>2</v>
          </cell>
          <cell r="R218">
            <v>1.5510065782406881</v>
          </cell>
          <cell r="T218">
            <v>-0.45901842149710087</v>
          </cell>
          <cell r="U218">
            <v>-1.0614362781511688</v>
          </cell>
        </row>
        <row r="219">
          <cell r="N219">
            <v>86</v>
          </cell>
          <cell r="O219">
            <v>3</v>
          </cell>
          <cell r="P219">
            <v>1</v>
          </cell>
          <cell r="Q219">
            <v>5</v>
          </cell>
          <cell r="R219">
            <v>-0.5587199489339657</v>
          </cell>
          <cell r="T219">
            <v>-1.5107499503642448</v>
          </cell>
          <cell r="U219">
            <v>0.59384320407576385</v>
          </cell>
        </row>
        <row r="220">
          <cell r="N220">
            <v>87</v>
          </cell>
          <cell r="O220">
            <v>5</v>
          </cell>
          <cell r="P220">
            <v>5</v>
          </cell>
          <cell r="Q220">
            <v>4</v>
          </cell>
          <cell r="R220">
            <v>0.49614331465336126</v>
          </cell>
          <cell r="T220">
            <v>0.59271310737004301</v>
          </cell>
          <cell r="U220">
            <v>4.2083376666786312E-2</v>
          </cell>
        </row>
        <row r="221">
          <cell r="N221">
            <v>88</v>
          </cell>
          <cell r="O221">
            <v>1</v>
          </cell>
          <cell r="P221">
            <v>1</v>
          </cell>
          <cell r="Q221">
            <v>5</v>
          </cell>
          <cell r="R221">
            <v>-1.6135832125212926</v>
          </cell>
          <cell r="T221">
            <v>-1.5107499503642448</v>
          </cell>
          <cell r="U221">
            <v>0.59384320407576385</v>
          </cell>
        </row>
        <row r="222">
          <cell r="N222">
            <v>89</v>
          </cell>
          <cell r="O222">
            <v>7</v>
          </cell>
          <cell r="P222">
            <v>4</v>
          </cell>
          <cell r="Q222">
            <v>2</v>
          </cell>
          <cell r="R222">
            <v>1.5510065782406881</v>
          </cell>
          <cell r="T222">
            <v>6.6847342936471071E-2</v>
          </cell>
          <cell r="U222">
            <v>-1.0614362781511688</v>
          </cell>
        </row>
        <row r="223">
          <cell r="N223">
            <v>90</v>
          </cell>
          <cell r="O223">
            <v>7</v>
          </cell>
          <cell r="P223">
            <v>3</v>
          </cell>
          <cell r="Q223">
            <v>3</v>
          </cell>
          <cell r="R223">
            <v>1.5510065782406881</v>
          </cell>
          <cell r="T223">
            <v>-0.45901842149710087</v>
          </cell>
          <cell r="U223">
            <v>-0.50967645074219126</v>
          </cell>
        </row>
        <row r="224">
          <cell r="N224">
            <v>91</v>
          </cell>
          <cell r="O224">
            <v>7</v>
          </cell>
          <cell r="P224">
            <v>5</v>
          </cell>
          <cell r="Q224">
            <v>1</v>
          </cell>
          <cell r="R224">
            <v>1.5510065782406881</v>
          </cell>
          <cell r="T224">
            <v>0.59271310737004301</v>
          </cell>
          <cell r="U224">
            <v>-1.6131961055601465</v>
          </cell>
        </row>
        <row r="225">
          <cell r="N225">
            <v>92</v>
          </cell>
          <cell r="O225">
            <v>3</v>
          </cell>
          <cell r="P225">
            <v>6</v>
          </cell>
          <cell r="Q225">
            <v>5</v>
          </cell>
          <cell r="R225">
            <v>-0.5587199489339657</v>
          </cell>
          <cell r="T225">
            <v>1.1185788718036149</v>
          </cell>
          <cell r="U225">
            <v>0.59384320407576385</v>
          </cell>
        </row>
        <row r="226">
          <cell r="N226">
            <v>93</v>
          </cell>
          <cell r="O226">
            <v>3</v>
          </cell>
          <cell r="P226">
            <v>2</v>
          </cell>
          <cell r="Q226">
            <v>5</v>
          </cell>
          <cell r="R226">
            <v>-0.5587199489339657</v>
          </cell>
          <cell r="T226">
            <v>-0.98488418593067284</v>
          </cell>
          <cell r="U226">
            <v>0.59384320407576385</v>
          </cell>
        </row>
        <row r="227">
          <cell r="N227">
            <v>94</v>
          </cell>
          <cell r="O227">
            <v>4</v>
          </cell>
          <cell r="P227">
            <v>7</v>
          </cell>
          <cell r="Q227">
            <v>5</v>
          </cell>
          <cell r="R227">
            <v>-3.1288317140302224E-2</v>
          </cell>
          <cell r="T227">
            <v>1.644444636237187</v>
          </cell>
          <cell r="U227">
            <v>0.59384320407576385</v>
          </cell>
        </row>
        <row r="228">
          <cell r="N228">
            <v>95</v>
          </cell>
          <cell r="O228">
            <v>1</v>
          </cell>
          <cell r="P228">
            <v>1</v>
          </cell>
          <cell r="Q228">
            <v>6</v>
          </cell>
          <cell r="R228">
            <v>-1.6135832125212926</v>
          </cell>
          <cell r="T228">
            <v>-1.5107499503642448</v>
          </cell>
          <cell r="U228">
            <v>1.1456030314847414</v>
          </cell>
        </row>
        <row r="229">
          <cell r="N229">
            <v>96</v>
          </cell>
          <cell r="O229">
            <v>4</v>
          </cell>
          <cell r="P229">
            <v>5</v>
          </cell>
          <cell r="Q229">
            <v>3</v>
          </cell>
          <cell r="R229">
            <v>-3.1288317140302224E-2</v>
          </cell>
          <cell r="T229">
            <v>0.59271310737004301</v>
          </cell>
          <cell r="U229">
            <v>-0.50967645074219126</v>
          </cell>
        </row>
        <row r="230">
          <cell r="N230">
            <v>97</v>
          </cell>
          <cell r="O230">
            <v>7</v>
          </cell>
          <cell r="P230">
            <v>5</v>
          </cell>
          <cell r="Q230">
            <v>1</v>
          </cell>
          <cell r="R230">
            <v>1.5510065782406881</v>
          </cell>
          <cell r="T230">
            <v>0.59271310737004301</v>
          </cell>
          <cell r="U230">
            <v>-1.6131961055601465</v>
          </cell>
        </row>
        <row r="231">
          <cell r="N231">
            <v>98</v>
          </cell>
          <cell r="O231">
            <v>5</v>
          </cell>
          <cell r="P231">
            <v>5</v>
          </cell>
          <cell r="Q231">
            <v>5</v>
          </cell>
          <cell r="R231">
            <v>0.49614331465336126</v>
          </cell>
          <cell r="T231">
            <v>0.59271310737004301</v>
          </cell>
          <cell r="U231">
            <v>0.59384320407576385</v>
          </cell>
        </row>
        <row r="232">
          <cell r="N232">
            <v>99</v>
          </cell>
          <cell r="O232">
            <v>5</v>
          </cell>
          <cell r="P232">
            <v>7</v>
          </cell>
          <cell r="Q232">
            <v>5</v>
          </cell>
          <cell r="R232">
            <v>0.49614331465336126</v>
          </cell>
          <cell r="T232">
            <v>1.644444636237187</v>
          </cell>
          <cell r="U232">
            <v>0.59384320407576385</v>
          </cell>
        </row>
        <row r="233">
          <cell r="N233">
            <v>100</v>
          </cell>
          <cell r="O233">
            <v>6</v>
          </cell>
          <cell r="P233">
            <v>3</v>
          </cell>
          <cell r="Q233">
            <v>1</v>
          </cell>
          <cell r="R233">
            <v>1.0235749464470247</v>
          </cell>
          <cell r="T233">
            <v>-0.45901842149710087</v>
          </cell>
          <cell r="U233">
            <v>-1.6131961055601465</v>
          </cell>
        </row>
        <row r="234">
          <cell r="N234">
            <v>101</v>
          </cell>
          <cell r="O234">
            <v>1</v>
          </cell>
          <cell r="P234">
            <v>3</v>
          </cell>
          <cell r="Q234">
            <v>5</v>
          </cell>
          <cell r="R234">
            <v>-1.6135832125212926</v>
          </cell>
          <cell r="T234">
            <v>-0.45901842149710087</v>
          </cell>
          <cell r="U234">
            <v>0.59384320407576385</v>
          </cell>
        </row>
        <row r="235">
          <cell r="N235">
            <v>102</v>
          </cell>
          <cell r="O235">
            <v>2</v>
          </cell>
          <cell r="P235">
            <v>1</v>
          </cell>
          <cell r="Q235">
            <v>6</v>
          </cell>
          <cell r="R235">
            <v>-1.0861515807276292</v>
          </cell>
          <cell r="T235">
            <v>-1.5107499503642448</v>
          </cell>
          <cell r="U235">
            <v>1.1456030314847414</v>
          </cell>
        </row>
        <row r="236">
          <cell r="N236">
            <v>103</v>
          </cell>
          <cell r="O236">
            <v>1</v>
          </cell>
          <cell r="P236">
            <v>3</v>
          </cell>
          <cell r="Q236">
            <v>5</v>
          </cell>
          <cell r="R236">
            <v>-1.6135832125212926</v>
          </cell>
          <cell r="T236">
            <v>-0.45901842149710087</v>
          </cell>
          <cell r="U236">
            <v>0.59384320407576385</v>
          </cell>
        </row>
        <row r="237">
          <cell r="N237">
            <v>104</v>
          </cell>
          <cell r="O237">
            <v>5</v>
          </cell>
          <cell r="P237">
            <v>4</v>
          </cell>
          <cell r="Q237">
            <v>1</v>
          </cell>
          <cell r="R237">
            <v>0.49614331465336126</v>
          </cell>
          <cell r="T237">
            <v>6.6847342936471071E-2</v>
          </cell>
          <cell r="U237">
            <v>-1.6131961055601465</v>
          </cell>
        </row>
        <row r="238">
          <cell r="N238">
            <v>105</v>
          </cell>
          <cell r="O238">
            <v>6</v>
          </cell>
          <cell r="P238">
            <v>5</v>
          </cell>
          <cell r="Q238">
            <v>3</v>
          </cell>
          <cell r="R238">
            <v>1.0235749464470247</v>
          </cell>
          <cell r="T238">
            <v>0.59271310737004301</v>
          </cell>
          <cell r="U238">
            <v>-0.50967645074219126</v>
          </cell>
        </row>
        <row r="239">
          <cell r="N239">
            <v>106</v>
          </cell>
          <cell r="O239">
            <v>7</v>
          </cell>
          <cell r="P239">
            <v>3</v>
          </cell>
          <cell r="Q239">
            <v>3</v>
          </cell>
          <cell r="R239">
            <v>1.5510065782406881</v>
          </cell>
          <cell r="T239">
            <v>-0.45901842149710087</v>
          </cell>
          <cell r="U239">
            <v>-0.50967645074219126</v>
          </cell>
        </row>
        <row r="240">
          <cell r="N240">
            <v>107</v>
          </cell>
          <cell r="O240">
            <v>1</v>
          </cell>
          <cell r="P240">
            <v>2</v>
          </cell>
          <cell r="Q240">
            <v>6</v>
          </cell>
          <cell r="R240">
            <v>-1.6135832125212926</v>
          </cell>
          <cell r="T240">
            <v>-0.98488418593067284</v>
          </cell>
          <cell r="U240">
            <v>1.1456030314847414</v>
          </cell>
        </row>
        <row r="241">
          <cell r="N241">
            <v>108</v>
          </cell>
          <cell r="O241">
            <v>7</v>
          </cell>
          <cell r="P241">
            <v>4</v>
          </cell>
          <cell r="Q241">
            <v>3</v>
          </cell>
          <cell r="R241">
            <v>1.5510065782406881</v>
          </cell>
          <cell r="T241">
            <v>6.6847342936471071E-2</v>
          </cell>
          <cell r="U241">
            <v>-0.50967645074219126</v>
          </cell>
        </row>
        <row r="242">
          <cell r="N242">
            <v>109</v>
          </cell>
          <cell r="O242">
            <v>3</v>
          </cell>
          <cell r="P242">
            <v>3</v>
          </cell>
          <cell r="Q242">
            <v>6</v>
          </cell>
          <cell r="R242">
            <v>-0.5587199489339657</v>
          </cell>
          <cell r="T242">
            <v>-0.45901842149710087</v>
          </cell>
          <cell r="U242">
            <v>1.1456030314847414</v>
          </cell>
        </row>
        <row r="243">
          <cell r="N243">
            <v>110</v>
          </cell>
          <cell r="O243">
            <v>2</v>
          </cell>
          <cell r="P243">
            <v>2</v>
          </cell>
          <cell r="Q243">
            <v>5</v>
          </cell>
          <cell r="R243">
            <v>-1.0861515807276292</v>
          </cell>
          <cell r="T243">
            <v>-0.98488418593067284</v>
          </cell>
          <cell r="U243">
            <v>0.59384320407576385</v>
          </cell>
        </row>
        <row r="244">
          <cell r="N244">
            <v>111</v>
          </cell>
          <cell r="O244">
            <v>7</v>
          </cell>
          <cell r="P244">
            <v>3</v>
          </cell>
          <cell r="Q244">
            <v>2</v>
          </cell>
          <cell r="R244">
            <v>1.5510065782406881</v>
          </cell>
          <cell r="T244">
            <v>-0.45901842149710087</v>
          </cell>
          <cell r="U244">
            <v>-1.0614362781511688</v>
          </cell>
        </row>
        <row r="245">
          <cell r="N245">
            <v>112</v>
          </cell>
          <cell r="O245">
            <v>5</v>
          </cell>
          <cell r="P245">
            <v>7</v>
          </cell>
          <cell r="Q245">
            <v>3</v>
          </cell>
          <cell r="R245">
            <v>0.49614331465336126</v>
          </cell>
          <cell r="T245">
            <v>1.644444636237187</v>
          </cell>
          <cell r="U245">
            <v>-0.50967645074219126</v>
          </cell>
        </row>
        <row r="246">
          <cell r="N246">
            <v>113</v>
          </cell>
          <cell r="O246">
            <v>5</v>
          </cell>
          <cell r="P246">
            <v>3</v>
          </cell>
          <cell r="Q246">
            <v>2</v>
          </cell>
          <cell r="R246">
            <v>0.49614331465336126</v>
          </cell>
          <cell r="T246">
            <v>-0.45901842149710087</v>
          </cell>
          <cell r="U246">
            <v>-1.0614362781511688</v>
          </cell>
        </row>
        <row r="247">
          <cell r="N247">
            <v>114</v>
          </cell>
          <cell r="O247">
            <v>3</v>
          </cell>
          <cell r="P247">
            <v>7</v>
          </cell>
          <cell r="Q247">
            <v>5</v>
          </cell>
          <cell r="R247">
            <v>-0.5587199489339657</v>
          </cell>
          <cell r="T247">
            <v>1.644444636237187</v>
          </cell>
          <cell r="U247">
            <v>0.59384320407576385</v>
          </cell>
        </row>
        <row r="248">
          <cell r="N248">
            <v>115</v>
          </cell>
          <cell r="O248">
            <v>5</v>
          </cell>
          <cell r="P248">
            <v>5</v>
          </cell>
          <cell r="Q248">
            <v>1</v>
          </cell>
          <cell r="R248">
            <v>0.49614331465336126</v>
          </cell>
          <cell r="T248">
            <v>0.59271310737004301</v>
          </cell>
          <cell r="U248">
            <v>-1.6131961055601465</v>
          </cell>
        </row>
        <row r="249">
          <cell r="N249">
            <v>116</v>
          </cell>
          <cell r="O249">
            <v>1</v>
          </cell>
          <cell r="P249">
            <v>3</v>
          </cell>
          <cell r="Q249">
            <v>6</v>
          </cell>
          <cell r="R249">
            <v>-1.6135832125212926</v>
          </cell>
          <cell r="T249">
            <v>-0.45901842149710087</v>
          </cell>
          <cell r="U249">
            <v>1.1456030314847414</v>
          </cell>
        </row>
        <row r="250">
          <cell r="N250">
            <v>117</v>
          </cell>
          <cell r="O250">
            <v>6</v>
          </cell>
          <cell r="P250">
            <v>4</v>
          </cell>
          <cell r="Q250">
            <v>2</v>
          </cell>
          <cell r="R250">
            <v>1.0235749464470247</v>
          </cell>
          <cell r="T250">
            <v>6.6847342936471071E-2</v>
          </cell>
          <cell r="U250">
            <v>-1.0614362781511688</v>
          </cell>
        </row>
        <row r="251">
          <cell r="N251">
            <v>118</v>
          </cell>
          <cell r="O251">
            <v>5</v>
          </cell>
          <cell r="P251">
            <v>3</v>
          </cell>
          <cell r="Q251">
            <v>2</v>
          </cell>
          <cell r="R251">
            <v>0.49614331465336126</v>
          </cell>
          <cell r="T251">
            <v>-0.45901842149710087</v>
          </cell>
          <cell r="U251">
            <v>-1.0614362781511688</v>
          </cell>
        </row>
        <row r="268">
          <cell r="A268" t="str">
            <v>Customer</v>
          </cell>
          <cell r="B268" t="str">
            <v>Soap Ingredience</v>
          </cell>
          <cell r="C268" t="str">
            <v>Soap Fragrance</v>
          </cell>
          <cell r="D268" t="str">
            <v>Color Options</v>
          </cell>
          <cell r="E268" t="str">
            <v>z Ingredients</v>
          </cell>
          <cell r="F268" t="str">
            <v>z Fragrance</v>
          </cell>
          <cell r="G268" t="str">
            <v>z Color</v>
          </cell>
        </row>
        <row r="269">
          <cell r="A269">
            <v>1</v>
          </cell>
          <cell r="B269">
            <v>5</v>
          </cell>
          <cell r="C269">
            <v>5</v>
          </cell>
          <cell r="D269">
            <v>2</v>
          </cell>
          <cell r="E269">
            <v>0.49614331465336126</v>
          </cell>
          <cell r="F269">
            <v>0.59271310737004301</v>
          </cell>
          <cell r="G269">
            <v>-1.0614362781511688</v>
          </cell>
        </row>
        <row r="270">
          <cell r="A270">
            <v>2</v>
          </cell>
          <cell r="B270">
            <v>7</v>
          </cell>
          <cell r="C270">
            <v>5</v>
          </cell>
          <cell r="D270">
            <v>1</v>
          </cell>
          <cell r="E270">
            <v>1.5510065782406881</v>
          </cell>
          <cell r="F270">
            <v>0.59271310737004301</v>
          </cell>
          <cell r="G270">
            <v>-1.6131961055601465</v>
          </cell>
        </row>
        <row r="271">
          <cell r="A271">
            <v>3</v>
          </cell>
          <cell r="B271">
            <v>3</v>
          </cell>
          <cell r="C271">
            <v>5</v>
          </cell>
          <cell r="D271">
            <v>4</v>
          </cell>
          <cell r="E271">
            <v>-0.5587199489339657</v>
          </cell>
          <cell r="F271">
            <v>0.59271310737004301</v>
          </cell>
          <cell r="G271">
            <v>4.2083376666786312E-2</v>
          </cell>
        </row>
        <row r="272">
          <cell r="A272">
            <v>4</v>
          </cell>
          <cell r="B272">
            <v>4</v>
          </cell>
          <cell r="C272">
            <v>5</v>
          </cell>
          <cell r="D272">
            <v>4</v>
          </cell>
          <cell r="E272">
            <v>-3.1288317140302224E-2</v>
          </cell>
          <cell r="F272">
            <v>0.59271310737004301</v>
          </cell>
          <cell r="G272">
            <v>4.2083376666786312E-2</v>
          </cell>
        </row>
        <row r="273">
          <cell r="A273">
            <v>5</v>
          </cell>
          <cell r="B273">
            <v>6</v>
          </cell>
          <cell r="C273">
            <v>5</v>
          </cell>
          <cell r="D273">
            <v>2</v>
          </cell>
          <cell r="E273">
            <v>1.0235749464470247</v>
          </cell>
          <cell r="F273">
            <v>0.59271310737004301</v>
          </cell>
          <cell r="G273">
            <v>-1.0614362781511688</v>
          </cell>
        </row>
        <row r="274">
          <cell r="A274">
            <v>6</v>
          </cell>
          <cell r="B274">
            <v>5</v>
          </cell>
          <cell r="C274">
            <v>6</v>
          </cell>
          <cell r="D274">
            <v>5</v>
          </cell>
          <cell r="E274">
            <v>0.49614331465336126</v>
          </cell>
          <cell r="F274">
            <v>1.1185788718036149</v>
          </cell>
          <cell r="G274">
            <v>0.59384320407576385</v>
          </cell>
        </row>
        <row r="275">
          <cell r="A275">
            <v>7</v>
          </cell>
          <cell r="B275">
            <v>3</v>
          </cell>
          <cell r="C275">
            <v>1</v>
          </cell>
          <cell r="D275">
            <v>7</v>
          </cell>
          <cell r="E275">
            <v>-0.5587199489339657</v>
          </cell>
          <cell r="F275">
            <v>-1.5107499503642448</v>
          </cell>
          <cell r="G275">
            <v>1.6973628588937191</v>
          </cell>
        </row>
        <row r="276">
          <cell r="A276">
            <v>8</v>
          </cell>
          <cell r="B276">
            <v>6</v>
          </cell>
          <cell r="C276">
            <v>3</v>
          </cell>
          <cell r="D276">
            <v>2</v>
          </cell>
          <cell r="E276">
            <v>1.0235749464470247</v>
          </cell>
          <cell r="F276">
            <v>-0.45901842149710087</v>
          </cell>
          <cell r="G276">
            <v>-1.0614362781511688</v>
          </cell>
        </row>
        <row r="277">
          <cell r="A277">
            <v>9</v>
          </cell>
          <cell r="B277">
            <v>7</v>
          </cell>
          <cell r="C277">
            <v>5</v>
          </cell>
          <cell r="D277">
            <v>3</v>
          </cell>
          <cell r="E277">
            <v>1.5510065782406881</v>
          </cell>
          <cell r="F277">
            <v>0.59271310737004301</v>
          </cell>
          <cell r="G277">
            <v>-0.50967645074219126</v>
          </cell>
        </row>
        <row r="278">
          <cell r="A278">
            <v>10</v>
          </cell>
          <cell r="B278">
            <v>5</v>
          </cell>
          <cell r="C278">
            <v>3</v>
          </cell>
          <cell r="D278">
            <v>2</v>
          </cell>
          <cell r="E278">
            <v>0.49614331465336126</v>
          </cell>
          <cell r="F278">
            <v>-0.45901842149710087</v>
          </cell>
          <cell r="G278">
            <v>-1.0614362781511688</v>
          </cell>
        </row>
        <row r="279">
          <cell r="A279">
            <v>11</v>
          </cell>
          <cell r="B279">
            <v>5</v>
          </cell>
          <cell r="C279">
            <v>6</v>
          </cell>
          <cell r="D279">
            <v>4</v>
          </cell>
          <cell r="E279">
            <v>0.49614331465336126</v>
          </cell>
          <cell r="F279">
            <v>1.1185788718036149</v>
          </cell>
          <cell r="G279">
            <v>4.2083376666786312E-2</v>
          </cell>
        </row>
        <row r="280">
          <cell r="A280">
            <v>12</v>
          </cell>
          <cell r="B280">
            <v>3</v>
          </cell>
          <cell r="C280">
            <v>7</v>
          </cell>
          <cell r="D280">
            <v>5</v>
          </cell>
          <cell r="E280">
            <v>-0.5587199489339657</v>
          </cell>
          <cell r="F280">
            <v>1.644444636237187</v>
          </cell>
          <cell r="G280">
            <v>0.59384320407576385</v>
          </cell>
        </row>
        <row r="281">
          <cell r="A281">
            <v>13</v>
          </cell>
          <cell r="B281">
            <v>2</v>
          </cell>
          <cell r="C281">
            <v>3</v>
          </cell>
          <cell r="D281">
            <v>7</v>
          </cell>
          <cell r="E281">
            <v>-1.0861515807276292</v>
          </cell>
          <cell r="F281">
            <v>-0.45901842149710087</v>
          </cell>
          <cell r="G281">
            <v>1.6973628588937191</v>
          </cell>
        </row>
        <row r="282">
          <cell r="A282">
            <v>14</v>
          </cell>
          <cell r="B282">
            <v>3</v>
          </cell>
          <cell r="C282">
            <v>7</v>
          </cell>
          <cell r="D282">
            <v>5</v>
          </cell>
          <cell r="E282">
            <v>-0.5587199489339657</v>
          </cell>
          <cell r="F282">
            <v>1.644444636237187</v>
          </cell>
          <cell r="G282">
            <v>0.59384320407576385</v>
          </cell>
        </row>
        <row r="283">
          <cell r="A283">
            <v>15</v>
          </cell>
          <cell r="B283">
            <v>5</v>
          </cell>
          <cell r="C283">
            <v>6</v>
          </cell>
          <cell r="D283">
            <v>5</v>
          </cell>
          <cell r="E283">
            <v>0.49614331465336126</v>
          </cell>
          <cell r="F283">
            <v>1.1185788718036149</v>
          </cell>
          <cell r="G283">
            <v>0.59384320407576385</v>
          </cell>
        </row>
        <row r="284">
          <cell r="A284">
            <v>16</v>
          </cell>
          <cell r="B284">
            <v>5</v>
          </cell>
          <cell r="C284">
            <v>5</v>
          </cell>
          <cell r="D284">
            <v>1</v>
          </cell>
          <cell r="E284">
            <v>0.49614331465336126</v>
          </cell>
          <cell r="F284">
            <v>0.59271310737004301</v>
          </cell>
          <cell r="G284">
            <v>-1.6131961055601465</v>
          </cell>
        </row>
        <row r="285">
          <cell r="A285">
            <v>17</v>
          </cell>
          <cell r="B285">
            <v>4</v>
          </cell>
          <cell r="C285">
            <v>7</v>
          </cell>
          <cell r="D285">
            <v>5</v>
          </cell>
          <cell r="E285">
            <v>-3.1288317140302224E-2</v>
          </cell>
          <cell r="F285">
            <v>1.644444636237187</v>
          </cell>
          <cell r="G285">
            <v>0.59384320407576385</v>
          </cell>
        </row>
        <row r="286">
          <cell r="A286">
            <v>18</v>
          </cell>
          <cell r="B286">
            <v>4</v>
          </cell>
          <cell r="C286">
            <v>6</v>
          </cell>
          <cell r="D286">
            <v>5</v>
          </cell>
          <cell r="E286">
            <v>-3.1288317140302224E-2</v>
          </cell>
          <cell r="F286">
            <v>1.1185788718036149</v>
          </cell>
          <cell r="G286">
            <v>0.59384320407576385</v>
          </cell>
        </row>
        <row r="287">
          <cell r="A287">
            <v>19</v>
          </cell>
          <cell r="B287">
            <v>3</v>
          </cell>
          <cell r="C287">
            <v>5</v>
          </cell>
          <cell r="D287">
            <v>3</v>
          </cell>
          <cell r="E287">
            <v>-0.5587199489339657</v>
          </cell>
          <cell r="F287">
            <v>0.59271310737004301</v>
          </cell>
          <cell r="G287">
            <v>-0.50967645074219126</v>
          </cell>
        </row>
        <row r="288">
          <cell r="A288">
            <v>20</v>
          </cell>
          <cell r="B288">
            <v>1</v>
          </cell>
          <cell r="C288">
            <v>1</v>
          </cell>
          <cell r="D288">
            <v>7</v>
          </cell>
          <cell r="E288">
            <v>-1.6135832125212926</v>
          </cell>
          <cell r="F288">
            <v>-1.5107499503642448</v>
          </cell>
          <cell r="G288">
            <v>1.6973628588937191</v>
          </cell>
        </row>
        <row r="289">
          <cell r="A289">
            <v>21</v>
          </cell>
          <cell r="B289">
            <v>3</v>
          </cell>
          <cell r="C289">
            <v>1</v>
          </cell>
          <cell r="D289">
            <v>5</v>
          </cell>
          <cell r="E289">
            <v>-0.5587199489339657</v>
          </cell>
          <cell r="F289">
            <v>-1.5107499503642448</v>
          </cell>
          <cell r="G289">
            <v>0.59384320407576385</v>
          </cell>
        </row>
        <row r="290">
          <cell r="A290">
            <v>22</v>
          </cell>
          <cell r="B290">
            <v>4</v>
          </cell>
          <cell r="C290">
            <v>7</v>
          </cell>
          <cell r="D290">
            <v>3</v>
          </cell>
          <cell r="E290">
            <v>-3.1288317140302224E-2</v>
          </cell>
          <cell r="F290">
            <v>1.644444636237187</v>
          </cell>
          <cell r="G290">
            <v>-0.50967645074219126</v>
          </cell>
        </row>
        <row r="291">
          <cell r="A291">
            <v>23</v>
          </cell>
          <cell r="B291">
            <v>5</v>
          </cell>
          <cell r="C291">
            <v>5</v>
          </cell>
          <cell r="D291">
            <v>4</v>
          </cell>
          <cell r="E291">
            <v>0.49614331465336126</v>
          </cell>
          <cell r="F291">
            <v>0.59271310737004301</v>
          </cell>
          <cell r="G291">
            <v>4.2083376666786312E-2</v>
          </cell>
        </row>
        <row r="292">
          <cell r="A292">
            <v>24</v>
          </cell>
          <cell r="B292">
            <v>6</v>
          </cell>
          <cell r="C292">
            <v>3</v>
          </cell>
          <cell r="D292">
            <v>3</v>
          </cell>
          <cell r="E292">
            <v>1.0235749464470247</v>
          </cell>
          <cell r="F292">
            <v>-0.45901842149710087</v>
          </cell>
          <cell r="G292">
            <v>-0.50967645074219126</v>
          </cell>
        </row>
        <row r="293">
          <cell r="A293">
            <v>25</v>
          </cell>
          <cell r="B293">
            <v>3</v>
          </cell>
          <cell r="C293">
            <v>2</v>
          </cell>
          <cell r="D293">
            <v>5</v>
          </cell>
          <cell r="E293">
            <v>-0.5587199489339657</v>
          </cell>
          <cell r="F293">
            <v>-0.98488418593067284</v>
          </cell>
          <cell r="G293">
            <v>0.59384320407576385</v>
          </cell>
        </row>
        <row r="294">
          <cell r="A294">
            <v>26</v>
          </cell>
          <cell r="B294">
            <v>3</v>
          </cell>
          <cell r="C294">
            <v>2</v>
          </cell>
          <cell r="D294">
            <v>5</v>
          </cell>
          <cell r="E294">
            <v>-0.5587199489339657</v>
          </cell>
          <cell r="F294">
            <v>-0.98488418593067284</v>
          </cell>
          <cell r="G294">
            <v>0.59384320407576385</v>
          </cell>
        </row>
        <row r="295">
          <cell r="A295">
            <v>27</v>
          </cell>
          <cell r="B295">
            <v>2</v>
          </cell>
          <cell r="C295">
            <v>2</v>
          </cell>
          <cell r="D295">
            <v>7</v>
          </cell>
          <cell r="E295">
            <v>-1.0861515807276292</v>
          </cell>
          <cell r="F295">
            <v>-0.98488418593067284</v>
          </cell>
          <cell r="G295">
            <v>1.6973628588937191</v>
          </cell>
        </row>
        <row r="296">
          <cell r="A296">
            <v>28</v>
          </cell>
          <cell r="B296">
            <v>5</v>
          </cell>
          <cell r="C296">
            <v>5</v>
          </cell>
          <cell r="D296">
            <v>3</v>
          </cell>
          <cell r="E296">
            <v>0.49614331465336126</v>
          </cell>
          <cell r="F296">
            <v>0.59271310737004301</v>
          </cell>
          <cell r="G296">
            <v>-0.50967645074219126</v>
          </cell>
        </row>
        <row r="297">
          <cell r="A297">
            <v>29</v>
          </cell>
          <cell r="B297">
            <v>3</v>
          </cell>
          <cell r="C297">
            <v>2</v>
          </cell>
          <cell r="D297">
            <v>7</v>
          </cell>
          <cell r="E297">
            <v>-0.5587199489339657</v>
          </cell>
          <cell r="F297">
            <v>-0.98488418593067284</v>
          </cell>
          <cell r="G297">
            <v>1.6973628588937191</v>
          </cell>
        </row>
        <row r="298">
          <cell r="A298">
            <v>30</v>
          </cell>
          <cell r="B298">
            <v>2</v>
          </cell>
          <cell r="C298">
            <v>1</v>
          </cell>
          <cell r="D298">
            <v>5</v>
          </cell>
          <cell r="E298">
            <v>-1.0861515807276292</v>
          </cell>
          <cell r="F298">
            <v>-1.5107499503642448</v>
          </cell>
          <cell r="G298">
            <v>0.59384320407576385</v>
          </cell>
        </row>
        <row r="299">
          <cell r="A299">
            <v>31</v>
          </cell>
          <cell r="B299">
            <v>5</v>
          </cell>
          <cell r="C299">
            <v>5</v>
          </cell>
          <cell r="D299">
            <v>4</v>
          </cell>
          <cell r="E299">
            <v>0.49614331465336126</v>
          </cell>
          <cell r="F299">
            <v>0.59271310737004301</v>
          </cell>
          <cell r="G299">
            <v>4.2083376666786312E-2</v>
          </cell>
        </row>
        <row r="300">
          <cell r="A300">
            <v>32</v>
          </cell>
          <cell r="B300">
            <v>6</v>
          </cell>
          <cell r="C300">
            <v>3</v>
          </cell>
          <cell r="D300">
            <v>2</v>
          </cell>
          <cell r="E300">
            <v>1.0235749464470247</v>
          </cell>
          <cell r="F300">
            <v>-0.45901842149710087</v>
          </cell>
          <cell r="G300">
            <v>-1.0614362781511688</v>
          </cell>
        </row>
        <row r="301">
          <cell r="A301">
            <v>33</v>
          </cell>
          <cell r="B301">
            <v>5</v>
          </cell>
          <cell r="C301">
            <v>7</v>
          </cell>
          <cell r="D301">
            <v>5</v>
          </cell>
          <cell r="E301">
            <v>0.49614331465336126</v>
          </cell>
          <cell r="F301">
            <v>1.644444636237187</v>
          </cell>
          <cell r="G301">
            <v>0.59384320407576385</v>
          </cell>
        </row>
        <row r="302">
          <cell r="A302">
            <v>34</v>
          </cell>
          <cell r="B302">
            <v>5</v>
          </cell>
          <cell r="C302">
            <v>4</v>
          </cell>
          <cell r="D302">
            <v>1</v>
          </cell>
          <cell r="E302">
            <v>0.49614331465336126</v>
          </cell>
          <cell r="F302">
            <v>6.6847342936471071E-2</v>
          </cell>
          <cell r="G302">
            <v>-1.6131961055601465</v>
          </cell>
        </row>
        <row r="303">
          <cell r="A303">
            <v>35</v>
          </cell>
          <cell r="B303">
            <v>2</v>
          </cell>
          <cell r="C303">
            <v>2</v>
          </cell>
          <cell r="D303">
            <v>7</v>
          </cell>
          <cell r="E303">
            <v>-1.0861515807276292</v>
          </cell>
          <cell r="F303">
            <v>-0.98488418593067284</v>
          </cell>
          <cell r="G303">
            <v>1.6973628588937191</v>
          </cell>
        </row>
        <row r="304">
          <cell r="A304">
            <v>36</v>
          </cell>
          <cell r="B304">
            <v>1</v>
          </cell>
          <cell r="C304">
            <v>1</v>
          </cell>
          <cell r="D304">
            <v>6</v>
          </cell>
          <cell r="E304">
            <v>-1.6135832125212926</v>
          </cell>
          <cell r="F304">
            <v>-1.5107499503642448</v>
          </cell>
          <cell r="G304">
            <v>1.1456030314847414</v>
          </cell>
        </row>
        <row r="305">
          <cell r="A305">
            <v>37</v>
          </cell>
          <cell r="B305">
            <v>3</v>
          </cell>
          <cell r="C305">
            <v>1</v>
          </cell>
          <cell r="D305">
            <v>5</v>
          </cell>
          <cell r="E305">
            <v>-0.5587199489339657</v>
          </cell>
          <cell r="F305">
            <v>-1.5107499503642448</v>
          </cell>
          <cell r="G305">
            <v>0.59384320407576385</v>
          </cell>
        </row>
        <row r="306">
          <cell r="A306">
            <v>38</v>
          </cell>
          <cell r="B306">
            <v>3</v>
          </cell>
          <cell r="C306">
            <v>6</v>
          </cell>
          <cell r="D306">
            <v>3</v>
          </cell>
          <cell r="E306">
            <v>-0.5587199489339657</v>
          </cell>
          <cell r="F306">
            <v>1.1185788718036149</v>
          </cell>
          <cell r="G306">
            <v>-0.50967645074219126</v>
          </cell>
        </row>
        <row r="307">
          <cell r="A307">
            <v>39</v>
          </cell>
          <cell r="B307">
            <v>5</v>
          </cell>
          <cell r="C307">
            <v>7</v>
          </cell>
          <cell r="D307">
            <v>5</v>
          </cell>
          <cell r="E307">
            <v>0.49614331465336126</v>
          </cell>
          <cell r="F307">
            <v>1.644444636237187</v>
          </cell>
          <cell r="G307">
            <v>0.59384320407576385</v>
          </cell>
        </row>
        <row r="308">
          <cell r="A308">
            <v>40</v>
          </cell>
          <cell r="B308">
            <v>3</v>
          </cell>
          <cell r="C308">
            <v>2</v>
          </cell>
          <cell r="D308">
            <v>6</v>
          </cell>
          <cell r="E308">
            <v>-0.5587199489339657</v>
          </cell>
          <cell r="F308">
            <v>-0.98488418593067284</v>
          </cell>
          <cell r="G308">
            <v>1.1456030314847414</v>
          </cell>
        </row>
        <row r="309">
          <cell r="A309">
            <v>41</v>
          </cell>
          <cell r="B309">
            <v>5</v>
          </cell>
          <cell r="C309">
            <v>3</v>
          </cell>
          <cell r="D309">
            <v>3</v>
          </cell>
          <cell r="E309">
            <v>0.49614331465336126</v>
          </cell>
          <cell r="F309">
            <v>-0.45901842149710087</v>
          </cell>
          <cell r="G309">
            <v>-0.50967645074219126</v>
          </cell>
        </row>
        <row r="310">
          <cell r="A310">
            <v>42</v>
          </cell>
          <cell r="B310">
            <v>3</v>
          </cell>
          <cell r="C310">
            <v>6</v>
          </cell>
          <cell r="D310">
            <v>3</v>
          </cell>
          <cell r="E310">
            <v>-0.5587199489339657</v>
          </cell>
          <cell r="F310">
            <v>1.1185788718036149</v>
          </cell>
          <cell r="G310">
            <v>-0.50967645074219126</v>
          </cell>
        </row>
        <row r="311">
          <cell r="A311">
            <v>43</v>
          </cell>
          <cell r="B311">
            <v>4</v>
          </cell>
          <cell r="C311">
            <v>6</v>
          </cell>
          <cell r="D311">
            <v>5</v>
          </cell>
          <cell r="E311">
            <v>-3.1288317140302224E-2</v>
          </cell>
          <cell r="F311">
            <v>1.1185788718036149</v>
          </cell>
          <cell r="G311">
            <v>0.59384320407576385</v>
          </cell>
        </row>
        <row r="312">
          <cell r="A312">
            <v>44</v>
          </cell>
          <cell r="B312">
            <v>7</v>
          </cell>
          <cell r="C312">
            <v>4</v>
          </cell>
          <cell r="D312">
            <v>2</v>
          </cell>
          <cell r="E312">
            <v>1.5510065782406881</v>
          </cell>
          <cell r="F312">
            <v>6.6847342936471071E-2</v>
          </cell>
          <cell r="G312">
            <v>-1.0614362781511688</v>
          </cell>
        </row>
        <row r="313">
          <cell r="A313">
            <v>45</v>
          </cell>
          <cell r="B313">
            <v>4</v>
          </cell>
          <cell r="C313">
            <v>6</v>
          </cell>
          <cell r="D313">
            <v>3</v>
          </cell>
          <cell r="E313">
            <v>-3.1288317140302224E-2</v>
          </cell>
          <cell r="F313">
            <v>1.1185788718036149</v>
          </cell>
          <cell r="G313">
            <v>-0.50967645074219126</v>
          </cell>
        </row>
        <row r="314">
          <cell r="A314">
            <v>46</v>
          </cell>
          <cell r="B314">
            <v>4</v>
          </cell>
          <cell r="C314">
            <v>7</v>
          </cell>
          <cell r="D314">
            <v>4</v>
          </cell>
          <cell r="E314">
            <v>-3.1288317140302224E-2</v>
          </cell>
          <cell r="F314">
            <v>1.644444636237187</v>
          </cell>
          <cell r="G314">
            <v>4.2083376666786312E-2</v>
          </cell>
        </row>
        <row r="315">
          <cell r="A315">
            <v>47</v>
          </cell>
          <cell r="B315">
            <v>2</v>
          </cell>
          <cell r="C315">
            <v>3</v>
          </cell>
          <cell r="D315">
            <v>5</v>
          </cell>
          <cell r="E315">
            <v>-1.0861515807276292</v>
          </cell>
          <cell r="F315">
            <v>-0.45901842149710087</v>
          </cell>
          <cell r="G315">
            <v>0.59384320407576385</v>
          </cell>
        </row>
        <row r="316">
          <cell r="A316">
            <v>48</v>
          </cell>
          <cell r="B316">
            <v>7</v>
          </cell>
          <cell r="C316">
            <v>3</v>
          </cell>
          <cell r="D316">
            <v>1</v>
          </cell>
          <cell r="E316">
            <v>1.5510065782406881</v>
          </cell>
          <cell r="F316">
            <v>-0.45901842149710087</v>
          </cell>
          <cell r="G316">
            <v>-1.6131961055601465</v>
          </cell>
        </row>
        <row r="317">
          <cell r="A317">
            <v>49</v>
          </cell>
          <cell r="B317">
            <v>2</v>
          </cell>
          <cell r="C317">
            <v>2</v>
          </cell>
          <cell r="D317">
            <v>5</v>
          </cell>
          <cell r="E317">
            <v>-1.0861515807276292</v>
          </cell>
          <cell r="F317">
            <v>-0.98488418593067284</v>
          </cell>
          <cell r="G317">
            <v>0.59384320407576385</v>
          </cell>
        </row>
        <row r="318">
          <cell r="A318">
            <v>50</v>
          </cell>
          <cell r="B318">
            <v>5</v>
          </cell>
          <cell r="C318">
            <v>3</v>
          </cell>
          <cell r="D318">
            <v>3</v>
          </cell>
          <cell r="E318">
            <v>0.49614331465336126</v>
          </cell>
          <cell r="F318">
            <v>-0.45901842149710087</v>
          </cell>
          <cell r="G318">
            <v>-0.50967645074219126</v>
          </cell>
        </row>
        <row r="319">
          <cell r="A319">
            <v>51</v>
          </cell>
          <cell r="B319">
            <v>3</v>
          </cell>
          <cell r="C319">
            <v>3</v>
          </cell>
          <cell r="D319">
            <v>7</v>
          </cell>
          <cell r="E319">
            <v>-0.5587199489339657</v>
          </cell>
          <cell r="F319">
            <v>-0.45901842149710087</v>
          </cell>
          <cell r="G319">
            <v>1.6973628588937191</v>
          </cell>
        </row>
        <row r="320">
          <cell r="A320">
            <v>52</v>
          </cell>
          <cell r="B320">
            <v>4</v>
          </cell>
          <cell r="C320">
            <v>6</v>
          </cell>
          <cell r="D320">
            <v>5</v>
          </cell>
          <cell r="E320">
            <v>-3.1288317140302224E-2</v>
          </cell>
          <cell r="F320">
            <v>1.1185788718036149</v>
          </cell>
          <cell r="G320">
            <v>0.59384320407576385</v>
          </cell>
        </row>
        <row r="321">
          <cell r="A321">
            <v>53</v>
          </cell>
          <cell r="B321">
            <v>6</v>
          </cell>
          <cell r="C321">
            <v>3</v>
          </cell>
          <cell r="D321">
            <v>2</v>
          </cell>
          <cell r="E321">
            <v>1.0235749464470247</v>
          </cell>
          <cell r="F321">
            <v>-0.45901842149710087</v>
          </cell>
          <cell r="G321">
            <v>-1.0614362781511688</v>
          </cell>
        </row>
        <row r="322">
          <cell r="A322">
            <v>54</v>
          </cell>
          <cell r="B322">
            <v>4</v>
          </cell>
          <cell r="C322">
            <v>7</v>
          </cell>
          <cell r="D322">
            <v>4</v>
          </cell>
          <cell r="E322">
            <v>-3.1288317140302224E-2</v>
          </cell>
          <cell r="F322">
            <v>1.644444636237187</v>
          </cell>
          <cell r="G322">
            <v>4.2083376666786312E-2</v>
          </cell>
        </row>
        <row r="323">
          <cell r="A323">
            <v>55</v>
          </cell>
          <cell r="B323">
            <v>2</v>
          </cell>
          <cell r="C323">
            <v>1</v>
          </cell>
          <cell r="D323">
            <v>5</v>
          </cell>
          <cell r="E323">
            <v>-1.0861515807276292</v>
          </cell>
          <cell r="F323">
            <v>-1.5107499503642448</v>
          </cell>
          <cell r="G323">
            <v>0.59384320407576385</v>
          </cell>
        </row>
        <row r="324">
          <cell r="A324">
            <v>56</v>
          </cell>
          <cell r="B324">
            <v>5</v>
          </cell>
          <cell r="C324">
            <v>6</v>
          </cell>
          <cell r="D324">
            <v>5</v>
          </cell>
          <cell r="E324">
            <v>0.49614331465336126</v>
          </cell>
          <cell r="F324">
            <v>1.1185788718036149</v>
          </cell>
          <cell r="G324">
            <v>0.59384320407576385</v>
          </cell>
        </row>
        <row r="325">
          <cell r="A325">
            <v>57</v>
          </cell>
          <cell r="B325">
            <v>5</v>
          </cell>
          <cell r="C325">
            <v>4</v>
          </cell>
          <cell r="D325">
            <v>1</v>
          </cell>
          <cell r="E325">
            <v>0.49614331465336126</v>
          </cell>
          <cell r="F325">
            <v>6.6847342936471071E-2</v>
          </cell>
          <cell r="G325">
            <v>-1.6131961055601465</v>
          </cell>
        </row>
        <row r="326">
          <cell r="A326">
            <v>58</v>
          </cell>
          <cell r="B326">
            <v>2</v>
          </cell>
          <cell r="C326">
            <v>2</v>
          </cell>
          <cell r="D326">
            <v>5</v>
          </cell>
          <cell r="E326">
            <v>-1.0861515807276292</v>
          </cell>
          <cell r="F326">
            <v>-0.98488418593067284</v>
          </cell>
          <cell r="G326">
            <v>0.59384320407576385</v>
          </cell>
        </row>
        <row r="327">
          <cell r="A327">
            <v>59</v>
          </cell>
          <cell r="B327">
            <v>3</v>
          </cell>
          <cell r="C327">
            <v>6</v>
          </cell>
          <cell r="D327">
            <v>3</v>
          </cell>
          <cell r="E327">
            <v>-0.5587199489339657</v>
          </cell>
          <cell r="F327">
            <v>1.1185788718036149</v>
          </cell>
          <cell r="G327">
            <v>-0.50967645074219126</v>
          </cell>
        </row>
        <row r="328">
          <cell r="A328">
            <v>60</v>
          </cell>
          <cell r="B328">
            <v>1</v>
          </cell>
          <cell r="C328">
            <v>2</v>
          </cell>
          <cell r="D328">
            <v>5</v>
          </cell>
          <cell r="E328">
            <v>-1.6135832125212926</v>
          </cell>
          <cell r="F328">
            <v>-0.98488418593067284</v>
          </cell>
          <cell r="G328">
            <v>0.59384320407576385</v>
          </cell>
        </row>
        <row r="329">
          <cell r="A329">
            <v>61</v>
          </cell>
          <cell r="B329">
            <v>3</v>
          </cell>
          <cell r="C329">
            <v>5</v>
          </cell>
          <cell r="D329">
            <v>3</v>
          </cell>
          <cell r="E329">
            <v>-0.5587199489339657</v>
          </cell>
          <cell r="F329">
            <v>0.59271310737004301</v>
          </cell>
          <cell r="G329">
            <v>-0.50967645074219126</v>
          </cell>
        </row>
        <row r="330">
          <cell r="A330">
            <v>62</v>
          </cell>
          <cell r="B330">
            <v>2</v>
          </cell>
          <cell r="C330">
            <v>3</v>
          </cell>
          <cell r="D330">
            <v>7</v>
          </cell>
          <cell r="E330">
            <v>-1.0861515807276292</v>
          </cell>
          <cell r="F330">
            <v>-0.45901842149710087</v>
          </cell>
          <cell r="G330">
            <v>1.6973628588937191</v>
          </cell>
        </row>
        <row r="331">
          <cell r="A331">
            <v>63</v>
          </cell>
          <cell r="B331">
            <v>1</v>
          </cell>
          <cell r="C331">
            <v>2</v>
          </cell>
          <cell r="D331">
            <v>6</v>
          </cell>
          <cell r="E331">
            <v>-1.6135832125212926</v>
          </cell>
          <cell r="F331">
            <v>-0.98488418593067284</v>
          </cell>
          <cell r="G331">
            <v>1.1456030314847414</v>
          </cell>
        </row>
        <row r="332">
          <cell r="A332">
            <v>64</v>
          </cell>
          <cell r="B332">
            <v>2</v>
          </cell>
          <cell r="C332">
            <v>1</v>
          </cell>
          <cell r="D332">
            <v>5</v>
          </cell>
          <cell r="E332">
            <v>-1.0861515807276292</v>
          </cell>
          <cell r="F332">
            <v>-1.5107499503642448</v>
          </cell>
          <cell r="G332">
            <v>0.59384320407576385</v>
          </cell>
        </row>
        <row r="333">
          <cell r="A333">
            <v>65</v>
          </cell>
          <cell r="B333">
            <v>1</v>
          </cell>
          <cell r="C333">
            <v>2</v>
          </cell>
          <cell r="D333">
            <v>7</v>
          </cell>
          <cell r="E333">
            <v>-1.6135832125212926</v>
          </cell>
          <cell r="F333">
            <v>-0.98488418593067284</v>
          </cell>
          <cell r="G333">
            <v>1.6973628588937191</v>
          </cell>
        </row>
        <row r="334">
          <cell r="A334">
            <v>66</v>
          </cell>
          <cell r="B334">
            <v>6</v>
          </cell>
          <cell r="C334">
            <v>4</v>
          </cell>
          <cell r="D334">
            <v>1</v>
          </cell>
          <cell r="E334">
            <v>1.0235749464470247</v>
          </cell>
          <cell r="F334">
            <v>6.6847342936471071E-2</v>
          </cell>
          <cell r="G334">
            <v>-1.6131961055601465</v>
          </cell>
        </row>
        <row r="335">
          <cell r="A335">
            <v>67</v>
          </cell>
          <cell r="B335">
            <v>7</v>
          </cell>
          <cell r="C335">
            <v>4</v>
          </cell>
          <cell r="D335">
            <v>2</v>
          </cell>
          <cell r="E335">
            <v>1.5510065782406881</v>
          </cell>
          <cell r="F335">
            <v>6.6847342936471071E-2</v>
          </cell>
          <cell r="G335">
            <v>-1.0614362781511688</v>
          </cell>
        </row>
        <row r="336">
          <cell r="A336">
            <v>68</v>
          </cell>
          <cell r="B336">
            <v>7</v>
          </cell>
          <cell r="C336">
            <v>4</v>
          </cell>
          <cell r="D336">
            <v>1</v>
          </cell>
          <cell r="E336">
            <v>1.5510065782406881</v>
          </cell>
          <cell r="F336">
            <v>6.6847342936471071E-2</v>
          </cell>
          <cell r="G336">
            <v>-1.6131961055601465</v>
          </cell>
        </row>
        <row r="337">
          <cell r="A337">
            <v>69</v>
          </cell>
          <cell r="B337">
            <v>3</v>
          </cell>
          <cell r="C337">
            <v>6</v>
          </cell>
          <cell r="D337">
            <v>3</v>
          </cell>
          <cell r="E337">
            <v>-0.5587199489339657</v>
          </cell>
          <cell r="F337">
            <v>1.1185788718036149</v>
          </cell>
          <cell r="G337">
            <v>-0.50967645074219126</v>
          </cell>
        </row>
        <row r="338">
          <cell r="A338">
            <v>70</v>
          </cell>
          <cell r="B338">
            <v>1</v>
          </cell>
          <cell r="C338">
            <v>1</v>
          </cell>
          <cell r="D338">
            <v>5</v>
          </cell>
          <cell r="E338">
            <v>-1.6135832125212926</v>
          </cell>
          <cell r="F338">
            <v>-1.5107499503642448</v>
          </cell>
          <cell r="G338">
            <v>0.59384320407576385</v>
          </cell>
        </row>
        <row r="339">
          <cell r="A339">
            <v>71</v>
          </cell>
          <cell r="B339">
            <v>4</v>
          </cell>
          <cell r="C339">
            <v>7</v>
          </cell>
          <cell r="D339">
            <v>3</v>
          </cell>
          <cell r="E339">
            <v>-3.1288317140302224E-2</v>
          </cell>
          <cell r="F339">
            <v>1.644444636237187</v>
          </cell>
          <cell r="G339">
            <v>-0.50967645074219126</v>
          </cell>
        </row>
        <row r="340">
          <cell r="A340">
            <v>72</v>
          </cell>
          <cell r="B340">
            <v>1</v>
          </cell>
          <cell r="C340">
            <v>3</v>
          </cell>
          <cell r="D340">
            <v>6</v>
          </cell>
          <cell r="E340">
            <v>-1.6135832125212926</v>
          </cell>
          <cell r="F340">
            <v>-0.45901842149710087</v>
          </cell>
          <cell r="G340">
            <v>1.1456030314847414</v>
          </cell>
        </row>
        <row r="341">
          <cell r="A341">
            <v>73</v>
          </cell>
          <cell r="B341">
            <v>7</v>
          </cell>
          <cell r="C341">
            <v>3</v>
          </cell>
          <cell r="D341">
            <v>1</v>
          </cell>
          <cell r="E341">
            <v>1.5510065782406881</v>
          </cell>
          <cell r="F341">
            <v>-0.45901842149710087</v>
          </cell>
          <cell r="G341">
            <v>-1.6131961055601465</v>
          </cell>
        </row>
        <row r="342">
          <cell r="A342">
            <v>74</v>
          </cell>
          <cell r="B342">
            <v>5</v>
          </cell>
          <cell r="C342">
            <v>4</v>
          </cell>
          <cell r="D342">
            <v>2</v>
          </cell>
          <cell r="E342">
            <v>0.49614331465336126</v>
          </cell>
          <cell r="F342">
            <v>6.6847342936471071E-2</v>
          </cell>
          <cell r="G342">
            <v>-1.0614362781511688</v>
          </cell>
        </row>
        <row r="343">
          <cell r="A343">
            <v>75</v>
          </cell>
          <cell r="B343">
            <v>6</v>
          </cell>
          <cell r="C343">
            <v>4</v>
          </cell>
          <cell r="D343">
            <v>2</v>
          </cell>
          <cell r="E343">
            <v>1.0235749464470247</v>
          </cell>
          <cell r="F343">
            <v>6.6847342936471071E-2</v>
          </cell>
          <cell r="G343">
            <v>-1.0614362781511688</v>
          </cell>
        </row>
        <row r="344">
          <cell r="A344">
            <v>76</v>
          </cell>
          <cell r="B344">
            <v>6</v>
          </cell>
          <cell r="C344">
            <v>3</v>
          </cell>
          <cell r="D344">
            <v>1</v>
          </cell>
          <cell r="E344">
            <v>1.0235749464470247</v>
          </cell>
          <cell r="F344">
            <v>-0.45901842149710087</v>
          </cell>
          <cell r="G344">
            <v>-1.6131961055601465</v>
          </cell>
        </row>
        <row r="345">
          <cell r="A345">
            <v>77</v>
          </cell>
          <cell r="B345">
            <v>2</v>
          </cell>
          <cell r="C345">
            <v>1</v>
          </cell>
          <cell r="D345">
            <v>7</v>
          </cell>
          <cell r="E345">
            <v>-1.0861515807276292</v>
          </cell>
          <cell r="F345">
            <v>-1.5107499503642448</v>
          </cell>
          <cell r="G345">
            <v>1.6973628588937191</v>
          </cell>
        </row>
        <row r="346">
          <cell r="A346">
            <v>78</v>
          </cell>
          <cell r="B346">
            <v>5</v>
          </cell>
          <cell r="C346">
            <v>6</v>
          </cell>
          <cell r="D346">
            <v>4</v>
          </cell>
          <cell r="E346">
            <v>0.49614331465336126</v>
          </cell>
          <cell r="F346">
            <v>1.1185788718036149</v>
          </cell>
          <cell r="G346">
            <v>4.2083376666786312E-2</v>
          </cell>
        </row>
        <row r="347">
          <cell r="A347">
            <v>79</v>
          </cell>
          <cell r="B347">
            <v>3</v>
          </cell>
          <cell r="C347">
            <v>2</v>
          </cell>
          <cell r="D347">
            <v>6</v>
          </cell>
          <cell r="E347">
            <v>-0.5587199489339657</v>
          </cell>
          <cell r="F347">
            <v>-0.98488418593067284</v>
          </cell>
          <cell r="G347">
            <v>1.1456030314847414</v>
          </cell>
        </row>
        <row r="348">
          <cell r="A348">
            <v>80</v>
          </cell>
          <cell r="B348">
            <v>2</v>
          </cell>
          <cell r="C348">
            <v>1</v>
          </cell>
          <cell r="D348">
            <v>6</v>
          </cell>
          <cell r="E348">
            <v>-1.0861515807276292</v>
          </cell>
          <cell r="F348">
            <v>-1.5107499503642448</v>
          </cell>
          <cell r="G348">
            <v>1.1456030314847414</v>
          </cell>
        </row>
        <row r="349">
          <cell r="A349">
            <v>81</v>
          </cell>
          <cell r="B349">
            <v>3</v>
          </cell>
          <cell r="C349">
            <v>5</v>
          </cell>
          <cell r="D349">
            <v>3</v>
          </cell>
          <cell r="E349">
            <v>-0.5587199489339657</v>
          </cell>
          <cell r="F349">
            <v>0.59271310737004301</v>
          </cell>
          <cell r="G349">
            <v>-0.50967645074219126</v>
          </cell>
        </row>
        <row r="350">
          <cell r="A350">
            <v>82</v>
          </cell>
          <cell r="B350">
            <v>7</v>
          </cell>
          <cell r="C350">
            <v>5</v>
          </cell>
          <cell r="D350">
            <v>3</v>
          </cell>
          <cell r="E350">
            <v>1.5510065782406881</v>
          </cell>
          <cell r="F350">
            <v>0.59271310737004301</v>
          </cell>
          <cell r="G350">
            <v>-0.50967645074219126</v>
          </cell>
        </row>
        <row r="351">
          <cell r="A351">
            <v>83</v>
          </cell>
          <cell r="B351">
            <v>3</v>
          </cell>
          <cell r="C351">
            <v>1</v>
          </cell>
          <cell r="D351">
            <v>6</v>
          </cell>
          <cell r="E351">
            <v>-0.5587199489339657</v>
          </cell>
          <cell r="F351">
            <v>-1.5107499503642448</v>
          </cell>
          <cell r="G351">
            <v>1.1456030314847414</v>
          </cell>
        </row>
        <row r="352">
          <cell r="A352">
            <v>84</v>
          </cell>
          <cell r="B352">
            <v>7</v>
          </cell>
          <cell r="C352">
            <v>5</v>
          </cell>
          <cell r="D352">
            <v>3</v>
          </cell>
          <cell r="E352">
            <v>1.5510065782406881</v>
          </cell>
          <cell r="F352">
            <v>0.59271310737004301</v>
          </cell>
          <cell r="G352">
            <v>-0.50967645074219126</v>
          </cell>
        </row>
        <row r="353">
          <cell r="A353">
            <v>85</v>
          </cell>
          <cell r="B353">
            <v>7</v>
          </cell>
          <cell r="C353">
            <v>3</v>
          </cell>
          <cell r="D353">
            <v>2</v>
          </cell>
          <cell r="E353">
            <v>1.5510065782406881</v>
          </cell>
          <cell r="F353">
            <v>-0.45901842149710087</v>
          </cell>
          <cell r="G353">
            <v>-1.0614362781511688</v>
          </cell>
        </row>
        <row r="354">
          <cell r="A354">
            <v>86</v>
          </cell>
          <cell r="B354">
            <v>3</v>
          </cell>
          <cell r="C354">
            <v>1</v>
          </cell>
          <cell r="D354">
            <v>5</v>
          </cell>
          <cell r="E354">
            <v>-0.5587199489339657</v>
          </cell>
          <cell r="F354">
            <v>-1.5107499503642448</v>
          </cell>
          <cell r="G354">
            <v>0.59384320407576385</v>
          </cell>
        </row>
        <row r="355">
          <cell r="A355">
            <v>87</v>
          </cell>
          <cell r="B355">
            <v>5</v>
          </cell>
          <cell r="C355">
            <v>5</v>
          </cell>
          <cell r="D355">
            <v>4</v>
          </cell>
          <cell r="E355">
            <v>0.49614331465336126</v>
          </cell>
          <cell r="F355">
            <v>0.59271310737004301</v>
          </cell>
          <cell r="G355">
            <v>4.2083376666786312E-2</v>
          </cell>
        </row>
        <row r="356">
          <cell r="A356">
            <v>88</v>
          </cell>
          <cell r="B356">
            <v>1</v>
          </cell>
          <cell r="C356">
            <v>1</v>
          </cell>
          <cell r="D356">
            <v>5</v>
          </cell>
          <cell r="E356">
            <v>-1.6135832125212926</v>
          </cell>
          <cell r="F356">
            <v>-1.5107499503642448</v>
          </cell>
          <cell r="G356">
            <v>0.59384320407576385</v>
          </cell>
        </row>
        <row r="357">
          <cell r="A357">
            <v>89</v>
          </cell>
          <cell r="B357">
            <v>7</v>
          </cell>
          <cell r="C357">
            <v>4</v>
          </cell>
          <cell r="D357">
            <v>2</v>
          </cell>
          <cell r="E357">
            <v>1.5510065782406881</v>
          </cell>
          <cell r="F357">
            <v>6.6847342936471071E-2</v>
          </cell>
          <cell r="G357">
            <v>-1.0614362781511688</v>
          </cell>
        </row>
        <row r="358">
          <cell r="A358">
            <v>90</v>
          </cell>
          <cell r="B358">
            <v>7</v>
          </cell>
          <cell r="C358">
            <v>3</v>
          </cell>
          <cell r="D358">
            <v>3</v>
          </cell>
          <cell r="E358">
            <v>1.5510065782406881</v>
          </cell>
          <cell r="F358">
            <v>-0.45901842149710087</v>
          </cell>
          <cell r="G358">
            <v>-0.50967645074219126</v>
          </cell>
        </row>
        <row r="359">
          <cell r="A359">
            <v>91</v>
          </cell>
          <cell r="B359">
            <v>7</v>
          </cell>
          <cell r="C359">
            <v>5</v>
          </cell>
          <cell r="D359">
            <v>1</v>
          </cell>
          <cell r="E359">
            <v>1.5510065782406881</v>
          </cell>
          <cell r="F359">
            <v>0.59271310737004301</v>
          </cell>
          <cell r="G359">
            <v>-1.6131961055601465</v>
          </cell>
        </row>
        <row r="360">
          <cell r="A360">
            <v>92</v>
          </cell>
          <cell r="B360">
            <v>3</v>
          </cell>
          <cell r="C360">
            <v>6</v>
          </cell>
          <cell r="D360">
            <v>5</v>
          </cell>
          <cell r="E360">
            <v>-0.5587199489339657</v>
          </cell>
          <cell r="F360">
            <v>1.1185788718036149</v>
          </cell>
          <cell r="G360">
            <v>0.59384320407576385</v>
          </cell>
        </row>
        <row r="361">
          <cell r="A361">
            <v>93</v>
          </cell>
          <cell r="B361">
            <v>3</v>
          </cell>
          <cell r="C361">
            <v>2</v>
          </cell>
          <cell r="D361">
            <v>5</v>
          </cell>
          <cell r="E361">
            <v>-0.5587199489339657</v>
          </cell>
          <cell r="F361">
            <v>-0.98488418593067284</v>
          </cell>
          <cell r="G361">
            <v>0.59384320407576385</v>
          </cell>
        </row>
        <row r="362">
          <cell r="A362">
            <v>94</v>
          </cell>
          <cell r="B362">
            <v>4</v>
          </cell>
          <cell r="C362">
            <v>7</v>
          </cell>
          <cell r="D362">
            <v>5</v>
          </cell>
          <cell r="E362">
            <v>-3.1288317140302224E-2</v>
          </cell>
          <cell r="F362">
            <v>1.644444636237187</v>
          </cell>
          <cell r="G362">
            <v>0.59384320407576385</v>
          </cell>
        </row>
        <row r="363">
          <cell r="A363">
            <v>95</v>
          </cell>
          <cell r="B363">
            <v>1</v>
          </cell>
          <cell r="C363">
            <v>1</v>
          </cell>
          <cell r="D363">
            <v>6</v>
          </cell>
          <cell r="E363">
            <v>-1.6135832125212926</v>
          </cell>
          <cell r="F363">
            <v>-1.5107499503642448</v>
          </cell>
          <cell r="G363">
            <v>1.1456030314847414</v>
          </cell>
        </row>
        <row r="364">
          <cell r="A364">
            <v>96</v>
          </cell>
          <cell r="B364">
            <v>4</v>
          </cell>
          <cell r="C364">
            <v>5</v>
          </cell>
          <cell r="D364">
            <v>3</v>
          </cell>
          <cell r="E364">
            <v>-3.1288317140302224E-2</v>
          </cell>
          <cell r="F364">
            <v>0.59271310737004301</v>
          </cell>
          <cell r="G364">
            <v>-0.50967645074219126</v>
          </cell>
        </row>
        <row r="365">
          <cell r="A365">
            <v>97</v>
          </cell>
          <cell r="B365">
            <v>7</v>
          </cell>
          <cell r="C365">
            <v>5</v>
          </cell>
          <cell r="D365">
            <v>1</v>
          </cell>
          <cell r="E365">
            <v>1.5510065782406881</v>
          </cell>
          <cell r="F365">
            <v>0.59271310737004301</v>
          </cell>
          <cell r="G365">
            <v>-1.6131961055601465</v>
          </cell>
        </row>
        <row r="366">
          <cell r="A366">
            <v>98</v>
          </cell>
          <cell r="B366">
            <v>5</v>
          </cell>
          <cell r="C366">
            <v>5</v>
          </cell>
          <cell r="D366">
            <v>5</v>
          </cell>
          <cell r="E366">
            <v>0.49614331465336126</v>
          </cell>
          <cell r="F366">
            <v>0.59271310737004301</v>
          </cell>
          <cell r="G366">
            <v>0.59384320407576385</v>
          </cell>
        </row>
        <row r="367">
          <cell r="A367">
            <v>99</v>
          </cell>
          <cell r="B367">
            <v>5</v>
          </cell>
          <cell r="C367">
            <v>7</v>
          </cell>
          <cell r="D367">
            <v>5</v>
          </cell>
          <cell r="E367">
            <v>0.49614331465336126</v>
          </cell>
          <cell r="F367">
            <v>1.644444636237187</v>
          </cell>
          <cell r="G367">
            <v>0.59384320407576385</v>
          </cell>
        </row>
        <row r="368">
          <cell r="A368">
            <v>100</v>
          </cell>
          <cell r="B368">
            <v>6</v>
          </cell>
          <cell r="C368">
            <v>3</v>
          </cell>
          <cell r="D368">
            <v>1</v>
          </cell>
          <cell r="E368">
            <v>1.0235749464470247</v>
          </cell>
          <cell r="F368">
            <v>-0.45901842149710087</v>
          </cell>
          <cell r="G368">
            <v>-1.6131961055601465</v>
          </cell>
        </row>
        <row r="369">
          <cell r="A369">
            <v>101</v>
          </cell>
          <cell r="B369">
            <v>1</v>
          </cell>
          <cell r="C369">
            <v>3</v>
          </cell>
          <cell r="D369">
            <v>5</v>
          </cell>
          <cell r="E369">
            <v>-1.6135832125212926</v>
          </cell>
          <cell r="F369">
            <v>-0.45901842149710087</v>
          </cell>
          <cell r="G369">
            <v>0.59384320407576385</v>
          </cell>
        </row>
        <row r="370">
          <cell r="A370">
            <v>102</v>
          </cell>
          <cell r="B370">
            <v>2</v>
          </cell>
          <cell r="C370">
            <v>1</v>
          </cell>
          <cell r="D370">
            <v>6</v>
          </cell>
          <cell r="E370">
            <v>-1.0861515807276292</v>
          </cell>
          <cell r="F370">
            <v>-1.5107499503642448</v>
          </cell>
          <cell r="G370">
            <v>1.1456030314847414</v>
          </cell>
        </row>
        <row r="371">
          <cell r="A371">
            <v>103</v>
          </cell>
          <cell r="B371">
            <v>1</v>
          </cell>
          <cell r="C371">
            <v>3</v>
          </cell>
          <cell r="D371">
            <v>5</v>
          </cell>
          <cell r="E371">
            <v>-1.6135832125212926</v>
          </cell>
          <cell r="F371">
            <v>-0.45901842149710087</v>
          </cell>
          <cell r="G371">
            <v>0.59384320407576385</v>
          </cell>
        </row>
        <row r="372">
          <cell r="A372">
            <v>104</v>
          </cell>
          <cell r="B372">
            <v>5</v>
          </cell>
          <cell r="C372">
            <v>4</v>
          </cell>
          <cell r="D372">
            <v>1</v>
          </cell>
          <cell r="E372">
            <v>0.49614331465336126</v>
          </cell>
          <cell r="F372">
            <v>6.6847342936471071E-2</v>
          </cell>
          <cell r="G372">
            <v>-1.6131961055601465</v>
          </cell>
        </row>
        <row r="373">
          <cell r="A373">
            <v>105</v>
          </cell>
          <cell r="B373">
            <v>6</v>
          </cell>
          <cell r="C373">
            <v>5</v>
          </cell>
          <cell r="D373">
            <v>3</v>
          </cell>
          <cell r="E373">
            <v>1.0235749464470247</v>
          </cell>
          <cell r="F373">
            <v>0.59271310737004301</v>
          </cell>
          <cell r="G373">
            <v>-0.50967645074219126</v>
          </cell>
        </row>
        <row r="374">
          <cell r="A374">
            <v>106</v>
          </cell>
          <cell r="B374">
            <v>7</v>
          </cell>
          <cell r="C374">
            <v>3</v>
          </cell>
          <cell r="D374">
            <v>3</v>
          </cell>
          <cell r="E374">
            <v>1.5510065782406881</v>
          </cell>
          <cell r="F374">
            <v>-0.45901842149710087</v>
          </cell>
          <cell r="G374">
            <v>-0.50967645074219126</v>
          </cell>
        </row>
        <row r="375">
          <cell r="A375">
            <v>107</v>
          </cell>
          <cell r="B375">
            <v>1</v>
          </cell>
          <cell r="C375">
            <v>2</v>
          </cell>
          <cell r="D375">
            <v>6</v>
          </cell>
          <cell r="E375">
            <v>-1.6135832125212926</v>
          </cell>
          <cell r="F375">
            <v>-0.98488418593067284</v>
          </cell>
          <cell r="G375">
            <v>1.1456030314847414</v>
          </cell>
        </row>
        <row r="376">
          <cell r="A376">
            <v>108</v>
          </cell>
          <cell r="B376">
            <v>7</v>
          </cell>
          <cell r="C376">
            <v>4</v>
          </cell>
          <cell r="D376">
            <v>3</v>
          </cell>
          <cell r="E376">
            <v>1.5510065782406881</v>
          </cell>
          <cell r="F376">
            <v>6.6847342936471071E-2</v>
          </cell>
          <cell r="G376">
            <v>-0.50967645074219126</v>
          </cell>
        </row>
        <row r="377">
          <cell r="A377">
            <v>109</v>
          </cell>
          <cell r="B377">
            <v>3</v>
          </cell>
          <cell r="C377">
            <v>3</v>
          </cell>
          <cell r="D377">
            <v>6</v>
          </cell>
          <cell r="E377">
            <v>-0.5587199489339657</v>
          </cell>
          <cell r="F377">
            <v>-0.45901842149710087</v>
          </cell>
          <cell r="G377">
            <v>1.1456030314847414</v>
          </cell>
        </row>
        <row r="378">
          <cell r="A378">
            <v>110</v>
          </cell>
          <cell r="B378">
            <v>2</v>
          </cell>
          <cell r="C378">
            <v>2</v>
          </cell>
          <cell r="D378">
            <v>5</v>
          </cell>
          <cell r="E378">
            <v>-1.0861515807276292</v>
          </cell>
          <cell r="F378">
            <v>-0.98488418593067284</v>
          </cell>
          <cell r="G378">
            <v>0.59384320407576385</v>
          </cell>
        </row>
        <row r="379">
          <cell r="A379">
            <v>111</v>
          </cell>
          <cell r="B379">
            <v>7</v>
          </cell>
          <cell r="C379">
            <v>3</v>
          </cell>
          <cell r="D379">
            <v>2</v>
          </cell>
          <cell r="E379">
            <v>1.5510065782406881</v>
          </cell>
          <cell r="F379">
            <v>-0.45901842149710087</v>
          </cell>
          <cell r="G379">
            <v>-1.0614362781511688</v>
          </cell>
        </row>
        <row r="380">
          <cell r="A380">
            <v>112</v>
          </cell>
          <cell r="B380">
            <v>5</v>
          </cell>
          <cell r="C380">
            <v>7</v>
          </cell>
          <cell r="D380">
            <v>3</v>
          </cell>
          <cell r="E380">
            <v>0.49614331465336126</v>
          </cell>
          <cell r="F380">
            <v>1.644444636237187</v>
          </cell>
          <cell r="G380">
            <v>-0.50967645074219126</v>
          </cell>
        </row>
        <row r="381">
          <cell r="A381">
            <v>113</v>
          </cell>
          <cell r="B381">
            <v>5</v>
          </cell>
          <cell r="C381">
            <v>3</v>
          </cell>
          <cell r="D381">
            <v>2</v>
          </cell>
          <cell r="E381">
            <v>0.49614331465336126</v>
          </cell>
          <cell r="F381">
            <v>-0.45901842149710087</v>
          </cell>
          <cell r="G381">
            <v>-1.0614362781511688</v>
          </cell>
        </row>
        <row r="382">
          <cell r="A382">
            <v>114</v>
          </cell>
          <cell r="B382">
            <v>3</v>
          </cell>
          <cell r="C382">
            <v>7</v>
          </cell>
          <cell r="D382">
            <v>5</v>
          </cell>
          <cell r="E382">
            <v>-0.5587199489339657</v>
          </cell>
          <cell r="F382">
            <v>1.644444636237187</v>
          </cell>
          <cell r="G382">
            <v>0.59384320407576385</v>
          </cell>
        </row>
        <row r="383">
          <cell r="A383">
            <v>115</v>
          </cell>
          <cell r="B383">
            <v>5</v>
          </cell>
          <cell r="C383">
            <v>5</v>
          </cell>
          <cell r="D383">
            <v>1</v>
          </cell>
          <cell r="E383">
            <v>0.49614331465336126</v>
          </cell>
          <cell r="F383">
            <v>0.59271310737004301</v>
          </cell>
          <cell r="G383">
            <v>-1.6131961055601465</v>
          </cell>
        </row>
        <row r="384">
          <cell r="A384">
            <v>116</v>
          </cell>
          <cell r="B384">
            <v>1</v>
          </cell>
          <cell r="C384">
            <v>3</v>
          </cell>
          <cell r="D384">
            <v>6</v>
          </cell>
          <cell r="E384">
            <v>-1.6135832125212926</v>
          </cell>
          <cell r="F384">
            <v>-0.45901842149710087</v>
          </cell>
          <cell r="G384">
            <v>1.1456030314847414</v>
          </cell>
        </row>
        <row r="385">
          <cell r="A385">
            <v>117</v>
          </cell>
          <cell r="B385">
            <v>6</v>
          </cell>
          <cell r="C385">
            <v>4</v>
          </cell>
          <cell r="D385">
            <v>2</v>
          </cell>
          <cell r="E385">
            <v>1.0235749464470247</v>
          </cell>
          <cell r="F385">
            <v>6.6847342936471071E-2</v>
          </cell>
          <cell r="G385">
            <v>-1.0614362781511688</v>
          </cell>
        </row>
        <row r="386">
          <cell r="A386">
            <v>118</v>
          </cell>
          <cell r="B386">
            <v>5</v>
          </cell>
          <cell r="C386">
            <v>3</v>
          </cell>
          <cell r="D386">
            <v>2</v>
          </cell>
          <cell r="E386">
            <v>0.49614331465336126</v>
          </cell>
          <cell r="F386">
            <v>-0.45901842149710087</v>
          </cell>
          <cell r="G386">
            <v>-1.0614362781511688</v>
          </cell>
        </row>
      </sheetData>
      <sheetData sheetId="1" refreshError="1"/>
      <sheetData sheetId="2" refreshError="1"/>
      <sheetData sheetId="3" refreshError="1"/>
      <sheetData sheetId="4" refreshError="1">
        <row r="6">
          <cell r="B6">
            <v>3166.8418019945248</v>
          </cell>
        </row>
      </sheetData>
      <sheetData sheetId="5" refreshError="1"/>
      <sheetData sheetId="6" refreshError="1"/>
      <sheetData sheetId="7" refreshError="1">
        <row r="11">
          <cell r="D11">
            <v>1113139812.5750859</v>
          </cell>
          <cell r="K11">
            <v>1241790434.5233545</v>
          </cell>
          <cell r="L11">
            <v>0.59819149918778336</v>
          </cell>
        </row>
      </sheetData>
      <sheetData sheetId="8" refreshError="1">
        <row r="4">
          <cell r="M4">
            <v>1</v>
          </cell>
        </row>
        <row r="11">
          <cell r="B11">
            <v>43073</v>
          </cell>
          <cell r="C11">
            <v>10</v>
          </cell>
          <cell r="D11">
            <v>37600</v>
          </cell>
          <cell r="L11">
            <v>2</v>
          </cell>
          <cell r="M11">
            <v>3</v>
          </cell>
          <cell r="N11">
            <v>1</v>
          </cell>
        </row>
        <row r="12">
          <cell r="B12">
            <v>43086</v>
          </cell>
          <cell r="C12">
            <v>41</v>
          </cell>
          <cell r="D12">
            <v>37517</v>
          </cell>
          <cell r="L12">
            <v>1</v>
          </cell>
          <cell r="M12">
            <v>1</v>
          </cell>
          <cell r="N12">
            <v>2</v>
          </cell>
        </row>
        <row r="13">
          <cell r="B13">
            <v>42996</v>
          </cell>
          <cell r="C13">
            <v>5</v>
          </cell>
          <cell r="D13">
            <v>37553</v>
          </cell>
          <cell r="L13">
            <v>4</v>
          </cell>
          <cell r="M13">
            <v>4</v>
          </cell>
          <cell r="N13">
            <v>2</v>
          </cell>
        </row>
        <row r="14">
          <cell r="B14">
            <v>43085</v>
          </cell>
          <cell r="C14">
            <v>11</v>
          </cell>
          <cell r="D14">
            <v>37587</v>
          </cell>
          <cell r="L14">
            <v>1</v>
          </cell>
          <cell r="M14">
            <v>2</v>
          </cell>
          <cell r="N14">
            <v>2</v>
          </cell>
        </row>
        <row r="15">
          <cell r="B15">
            <v>43053</v>
          </cell>
          <cell r="C15">
            <v>7</v>
          </cell>
          <cell r="D15">
            <v>37590</v>
          </cell>
          <cell r="L15">
            <v>3</v>
          </cell>
          <cell r="M15">
            <v>4</v>
          </cell>
          <cell r="N15">
            <v>1</v>
          </cell>
        </row>
        <row r="16">
          <cell r="B16">
            <v>43076</v>
          </cell>
          <cell r="C16">
            <v>24</v>
          </cell>
          <cell r="D16">
            <v>37581</v>
          </cell>
          <cell r="L16">
            <v>2</v>
          </cell>
          <cell r="M16">
            <v>1</v>
          </cell>
          <cell r="N16">
            <v>2</v>
          </cell>
        </row>
        <row r="17">
          <cell r="B17">
            <v>43032</v>
          </cell>
          <cell r="C17">
            <v>3</v>
          </cell>
          <cell r="D17">
            <v>3172</v>
          </cell>
          <cell r="L17">
            <v>4</v>
          </cell>
          <cell r="M17">
            <v>4</v>
          </cell>
          <cell r="N17">
            <v>4</v>
          </cell>
        </row>
        <row r="18">
          <cell r="B18">
            <v>43069</v>
          </cell>
          <cell r="C18">
            <v>7</v>
          </cell>
          <cell r="D18">
            <v>1832</v>
          </cell>
          <cell r="L18">
            <v>2</v>
          </cell>
          <cell r="M18">
            <v>4</v>
          </cell>
          <cell r="N18">
            <v>4</v>
          </cell>
        </row>
        <row r="19">
          <cell r="B19">
            <v>43060</v>
          </cell>
          <cell r="C19">
            <v>20</v>
          </cell>
          <cell r="D19">
            <v>37613</v>
          </cell>
          <cell r="L19">
            <v>3</v>
          </cell>
          <cell r="M19">
            <v>1</v>
          </cell>
          <cell r="N19">
            <v>1</v>
          </cell>
        </row>
        <row r="20">
          <cell r="B20">
            <v>43013</v>
          </cell>
          <cell r="C20">
            <v>7</v>
          </cell>
          <cell r="D20">
            <v>1941</v>
          </cell>
          <cell r="L20">
            <v>4</v>
          </cell>
          <cell r="M20">
            <v>4</v>
          </cell>
          <cell r="N20">
            <v>4</v>
          </cell>
        </row>
        <row r="21">
          <cell r="B21">
            <v>43092</v>
          </cell>
          <cell r="C21">
            <v>12</v>
          </cell>
          <cell r="D21">
            <v>14220</v>
          </cell>
          <cell r="L21">
            <v>1</v>
          </cell>
          <cell r="M21">
            <v>2</v>
          </cell>
          <cell r="N21">
            <v>3</v>
          </cell>
        </row>
        <row r="22">
          <cell r="B22">
            <v>43063</v>
          </cell>
          <cell r="C22">
            <v>10</v>
          </cell>
          <cell r="D22">
            <v>10036</v>
          </cell>
          <cell r="L22">
            <v>3</v>
          </cell>
          <cell r="M22">
            <v>3</v>
          </cell>
          <cell r="N22">
            <v>3</v>
          </cell>
        </row>
        <row r="23">
          <cell r="B23">
            <v>43070</v>
          </cell>
          <cell r="C23">
            <v>11</v>
          </cell>
          <cell r="D23">
            <v>30350</v>
          </cell>
          <cell r="L23">
            <v>2</v>
          </cell>
          <cell r="M23">
            <v>2</v>
          </cell>
          <cell r="N23">
            <v>3</v>
          </cell>
        </row>
        <row r="24">
          <cell r="B24">
            <v>42936</v>
          </cell>
          <cell r="C24">
            <v>3</v>
          </cell>
          <cell r="D24">
            <v>3155</v>
          </cell>
          <cell r="L24">
            <v>4</v>
          </cell>
          <cell r="M24">
            <v>4</v>
          </cell>
          <cell r="N24">
            <v>4</v>
          </cell>
        </row>
        <row r="25">
          <cell r="B25">
            <v>43093</v>
          </cell>
          <cell r="C25">
            <v>25</v>
          </cell>
          <cell r="D25">
            <v>37614</v>
          </cell>
          <cell r="L25">
            <v>1</v>
          </cell>
          <cell r="M25">
            <v>1</v>
          </cell>
          <cell r="N25">
            <v>1</v>
          </cell>
        </row>
        <row r="26">
          <cell r="B26">
            <v>42989</v>
          </cell>
          <cell r="C26">
            <v>8</v>
          </cell>
          <cell r="D26">
            <v>5050</v>
          </cell>
          <cell r="L26">
            <v>4</v>
          </cell>
          <cell r="M26">
            <v>3</v>
          </cell>
          <cell r="N26">
            <v>3</v>
          </cell>
        </row>
        <row r="27">
          <cell r="B27">
            <v>43046</v>
          </cell>
          <cell r="C27">
            <v>14</v>
          </cell>
          <cell r="D27">
            <v>8276</v>
          </cell>
          <cell r="L27">
            <v>3</v>
          </cell>
          <cell r="M27">
            <v>2</v>
          </cell>
          <cell r="N27">
            <v>3</v>
          </cell>
        </row>
        <row r="28">
          <cell r="B28">
            <v>43084</v>
          </cell>
          <cell r="C28">
            <v>20</v>
          </cell>
          <cell r="D28">
            <v>37571</v>
          </cell>
          <cell r="L28">
            <v>1</v>
          </cell>
          <cell r="M28">
            <v>1</v>
          </cell>
          <cell r="N28">
            <v>2</v>
          </cell>
        </row>
        <row r="29">
          <cell r="B29">
            <v>43032</v>
          </cell>
          <cell r="C29">
            <v>4</v>
          </cell>
          <cell r="D29">
            <v>1993</v>
          </cell>
          <cell r="L29">
            <v>4</v>
          </cell>
          <cell r="M29">
            <v>4</v>
          </cell>
          <cell r="N29">
            <v>4</v>
          </cell>
        </row>
        <row r="30">
          <cell r="B30">
            <v>43083</v>
          </cell>
          <cell r="C30">
            <v>16</v>
          </cell>
          <cell r="D30">
            <v>37607</v>
          </cell>
          <cell r="L30">
            <v>2</v>
          </cell>
          <cell r="M30">
            <v>2</v>
          </cell>
          <cell r="N30">
            <v>1</v>
          </cell>
        </row>
      </sheetData>
      <sheetData sheetId="9" refreshError="1">
        <row r="10">
          <cell r="A10" t="str">
            <v>Customer #</v>
          </cell>
          <cell r="B10" t="str">
            <v>Company Name</v>
          </cell>
          <cell r="C10" t="str">
            <v>Most 
Recent Order</v>
          </cell>
          <cell r="D10" t="str">
            <v>Number of 
Orders</v>
          </cell>
          <cell r="E10" t="str">
            <v>Sales 
Dollars ($)</v>
          </cell>
          <cell r="F10" t="str">
            <v>Specialty Jobs</v>
          </cell>
          <cell r="G10" t="str">
            <v>Response Time</v>
          </cell>
          <cell r="H10" t="str">
            <v>Sustainability</v>
          </cell>
          <cell r="I10" t="str">
            <v>Printing Solutions</v>
          </cell>
          <cell r="J10" t="str">
            <v>Z Most Recent</v>
          </cell>
          <cell r="K10" t="str">
            <v>Z Orders</v>
          </cell>
          <cell r="L10" t="str">
            <v>Z Sales $</v>
          </cell>
          <cell r="M10" t="str">
            <v>Z Specialty Jobs</v>
          </cell>
          <cell r="N10" t="str">
            <v>Z Response Time</v>
          </cell>
          <cell r="O10" t="str">
            <v>Z Sustainability</v>
          </cell>
          <cell r="P10" t="str">
            <v>Z Printing Solutions</v>
          </cell>
        </row>
        <row r="11">
          <cell r="A11">
            <v>1</v>
          </cell>
          <cell r="B11" t="str">
            <v>Bergstad's Supply</v>
          </cell>
          <cell r="C11">
            <v>43073</v>
          </cell>
          <cell r="D11">
            <v>10</v>
          </cell>
          <cell r="E11">
            <v>37600</v>
          </cell>
          <cell r="F11">
            <v>8.1673271795001714</v>
          </cell>
          <cell r="G11">
            <v>5.6415241282893591</v>
          </cell>
          <cell r="H11">
            <v>9.8567536554873332</v>
          </cell>
          <cell r="I11">
            <v>5.8522509615079983</v>
          </cell>
          <cell r="J11">
            <v>0.520715112196803</v>
          </cell>
          <cell r="K11">
            <v>-0.31008832924514818</v>
          </cell>
          <cell r="L11">
            <v>0.90520918173801346</v>
          </cell>
          <cell r="M11">
            <v>1.0872537158820748</v>
          </cell>
          <cell r="N11">
            <v>-0.63054064243295993</v>
          </cell>
          <cell r="O11">
            <v>1.1774436514114761</v>
          </cell>
          <cell r="P11">
            <v>-0.50437783626809851</v>
          </cell>
        </row>
        <row r="12">
          <cell r="A12">
            <v>2</v>
          </cell>
          <cell r="B12" t="str">
            <v>Blum's Goods</v>
          </cell>
          <cell r="C12">
            <v>43086</v>
          </cell>
          <cell r="D12">
            <v>41</v>
          </cell>
          <cell r="E12">
            <v>37517</v>
          </cell>
          <cell r="F12">
            <v>8.8434785824764575</v>
          </cell>
          <cell r="G12">
            <v>7.7544299816348667</v>
          </cell>
          <cell r="H12">
            <v>7.3109959012078534</v>
          </cell>
          <cell r="I12">
            <v>6.5628217875697548</v>
          </cell>
          <cell r="J12">
            <v>0.83630002867975672</v>
          </cell>
          <cell r="K12">
            <v>3.0046489833754015</v>
          </cell>
          <cell r="L12">
            <v>0.90013510497185023</v>
          </cell>
          <cell r="M12">
            <v>1.5290201368288177</v>
          </cell>
          <cell r="N12">
            <v>0.41104886405185215</v>
          </cell>
          <cell r="O12">
            <v>-9.0002897795385423E-2</v>
          </cell>
          <cell r="P12">
            <v>-0.13462018928255451</v>
          </cell>
        </row>
        <row r="13">
          <cell r="A13">
            <v>3</v>
          </cell>
          <cell r="B13" t="str">
            <v>Cherry Creek Inc</v>
          </cell>
          <cell r="C13">
            <v>42996</v>
          </cell>
          <cell r="D13">
            <v>5</v>
          </cell>
          <cell r="E13">
            <v>37553</v>
          </cell>
          <cell r="F13">
            <v>4.9191620645845218</v>
          </cell>
          <cell r="G13">
            <v>5.14565395311564</v>
          </cell>
          <cell r="H13">
            <v>9.1969779833493899</v>
          </cell>
          <cell r="I13">
            <v>5.837503454096038</v>
          </cell>
          <cell r="J13">
            <v>-1.3485186238945384</v>
          </cell>
          <cell r="K13">
            <v>-0.84472337966781741</v>
          </cell>
          <cell r="L13">
            <v>0.90233590935235475</v>
          </cell>
          <cell r="M13">
            <v>-1.0349489019695932</v>
          </cell>
          <cell r="N13">
            <v>-0.8749874880990518</v>
          </cell>
          <cell r="O13">
            <v>0.84896369392292459</v>
          </cell>
          <cell r="P13">
            <v>-0.51205195324496744</v>
          </cell>
        </row>
        <row r="14">
          <cell r="A14">
            <v>4</v>
          </cell>
          <cell r="B14" t="str">
            <v>Consolidated Holdings</v>
          </cell>
          <cell r="C14">
            <v>43085</v>
          </cell>
          <cell r="D14">
            <v>11</v>
          </cell>
          <cell r="E14">
            <v>37587</v>
          </cell>
          <cell r="F14">
            <v>4.584487981346574</v>
          </cell>
          <cell r="G14">
            <v>9.428789123717543</v>
          </cell>
          <cell r="H14">
            <v>5.4848904606311795</v>
          </cell>
          <cell r="I14">
            <v>4.3510805698945774</v>
          </cell>
          <cell r="J14">
            <v>0.81202426587337562</v>
          </cell>
          <cell r="K14">
            <v>-0.20316131916061436</v>
          </cell>
          <cell r="L14">
            <v>0.90441444682283123</v>
          </cell>
          <cell r="M14">
            <v>-1.2536096505606091</v>
          </cell>
          <cell r="N14">
            <v>1.2364500099282016</v>
          </cell>
          <cell r="O14">
            <v>-0.99915893797873201</v>
          </cell>
          <cell r="P14">
            <v>-1.2855374495943912</v>
          </cell>
        </row>
        <row r="15">
          <cell r="A15">
            <v>5</v>
          </cell>
          <cell r="B15" t="str">
            <v>Dollarwise Corp</v>
          </cell>
          <cell r="C15">
            <v>43053</v>
          </cell>
          <cell r="D15">
            <v>7</v>
          </cell>
          <cell r="E15">
            <v>37590</v>
          </cell>
          <cell r="F15">
            <v>4.5964874397234921</v>
          </cell>
          <cell r="G15">
            <v>4.5268592636652016</v>
          </cell>
          <cell r="H15">
            <v>5.52203981805566</v>
          </cell>
          <cell r="I15">
            <v>9.6267552801836231</v>
          </cell>
          <cell r="J15">
            <v>3.5199856069181877E-2</v>
          </cell>
          <cell r="K15">
            <v>-0.63086935949874978</v>
          </cell>
          <cell r="L15">
            <v>0.90459784718787328</v>
          </cell>
          <cell r="M15">
            <v>-1.2457697529324496</v>
          </cell>
          <cell r="N15">
            <v>-1.1800318677052593</v>
          </cell>
          <cell r="O15">
            <v>-0.98066353133850492</v>
          </cell>
          <cell r="P15">
            <v>1.4597498540643148</v>
          </cell>
        </row>
        <row r="16">
          <cell r="A16">
            <v>6</v>
          </cell>
          <cell r="B16" t="str">
            <v>Dunn's Holdings</v>
          </cell>
          <cell r="C16">
            <v>43076</v>
          </cell>
          <cell r="D16">
            <v>24</v>
          </cell>
          <cell r="E16">
            <v>37581</v>
          </cell>
          <cell r="F16">
            <v>5.1983815304005727</v>
          </cell>
          <cell r="G16">
            <v>6.406262969448365</v>
          </cell>
          <cell r="H16">
            <v>4.0821564815855913</v>
          </cell>
          <cell r="I16">
            <v>5.411725752866551</v>
          </cell>
          <cell r="J16">
            <v>0.59354240061594621</v>
          </cell>
          <cell r="K16">
            <v>1.1868898119383258</v>
          </cell>
          <cell r="L16">
            <v>0.90404764609274724</v>
          </cell>
          <cell r="M16">
            <v>-0.85251966566355775</v>
          </cell>
          <cell r="N16">
            <v>-0.25355084381445842</v>
          </cell>
          <cell r="O16">
            <v>-1.6975326690251618</v>
          </cell>
          <cell r="P16">
            <v>-0.73361264103465473</v>
          </cell>
        </row>
        <row r="17">
          <cell r="A17">
            <v>7</v>
          </cell>
          <cell r="B17" t="str">
            <v>Empire Trading</v>
          </cell>
          <cell r="C17">
            <v>43032</v>
          </cell>
          <cell r="D17">
            <v>3</v>
          </cell>
          <cell r="E17">
            <v>3172</v>
          </cell>
          <cell r="F17">
            <v>4.7140291888327646</v>
          </cell>
          <cell r="G17">
            <v>7.9356016200483834</v>
          </cell>
          <cell r="H17">
            <v>8.5212457098514527</v>
          </cell>
          <cell r="I17">
            <v>6.9001140897335747</v>
          </cell>
          <cell r="J17">
            <v>-0.47459116286482028</v>
          </cell>
          <cell r="K17">
            <v>-1.0585773998368853</v>
          </cell>
          <cell r="L17">
            <v>-1.1994934074844765</v>
          </cell>
          <cell r="M17">
            <v>-1.1689733467026391</v>
          </cell>
          <cell r="N17">
            <v>0.50036021559427313</v>
          </cell>
          <cell r="O17">
            <v>0.51253948514149317</v>
          </cell>
          <cell r="P17">
            <v>4.0895612126933538E-2</v>
          </cell>
        </row>
        <row r="18">
          <cell r="A18">
            <v>8</v>
          </cell>
          <cell r="B18" t="str">
            <v>Fraser Distributors</v>
          </cell>
          <cell r="C18">
            <v>43069</v>
          </cell>
          <cell r="D18">
            <v>7</v>
          </cell>
          <cell r="E18">
            <v>1832</v>
          </cell>
          <cell r="F18">
            <v>4.7388254081855097</v>
          </cell>
          <cell r="G18">
            <v>4.6733421826995363</v>
          </cell>
          <cell r="H18">
            <v>7.0256381986670799</v>
          </cell>
          <cell r="I18">
            <v>4.1910765018189471</v>
          </cell>
          <cell r="J18">
            <v>0.42361206097127879</v>
          </cell>
          <cell r="K18">
            <v>-0.63086935949874978</v>
          </cell>
          <cell r="L18">
            <v>-1.2814122372032559</v>
          </cell>
          <cell r="M18">
            <v>-1.1527726303715709</v>
          </cell>
          <cell r="N18">
            <v>-1.1078208550357431</v>
          </cell>
          <cell r="O18">
            <v>-0.23207283149858871</v>
          </cell>
          <cell r="P18">
            <v>-1.3687982950299704</v>
          </cell>
        </row>
        <row r="19">
          <cell r="A19">
            <v>9</v>
          </cell>
          <cell r="B19" t="str">
            <v>Gorham Street Corp</v>
          </cell>
          <cell r="C19">
            <v>43060</v>
          </cell>
          <cell r="D19">
            <v>20</v>
          </cell>
          <cell r="E19">
            <v>37613</v>
          </cell>
          <cell r="F19">
            <v>5.7235233991612171</v>
          </cell>
          <cell r="G19">
            <v>5.1967198254429485</v>
          </cell>
          <cell r="H19">
            <v>8.1889303437858683</v>
          </cell>
          <cell r="I19">
            <v>6.9174210216651719</v>
          </cell>
          <cell r="J19">
            <v>0.20513019571384927</v>
          </cell>
          <cell r="K19">
            <v>0.75918177160019029</v>
          </cell>
          <cell r="L19">
            <v>0.90600391665319568</v>
          </cell>
          <cell r="M19">
            <v>-0.50941597197823918</v>
          </cell>
          <cell r="N19">
            <v>-0.84981377926039303</v>
          </cell>
          <cell r="O19">
            <v>0.34709092144362907</v>
          </cell>
          <cell r="P19">
            <v>4.990156929947049E-2</v>
          </cell>
        </row>
        <row r="20">
          <cell r="A20">
            <v>10</v>
          </cell>
          <cell r="B20" t="str">
            <v>Hanover Supply</v>
          </cell>
          <cell r="C20">
            <v>43013</v>
          </cell>
          <cell r="D20">
            <v>7</v>
          </cell>
          <cell r="E20">
            <v>1941</v>
          </cell>
          <cell r="F20">
            <v>7.7369194652166451</v>
          </cell>
          <cell r="G20">
            <v>9.3871495110063599</v>
          </cell>
          <cell r="H20">
            <v>7.4244373061768103</v>
          </cell>
          <cell r="I20">
            <v>7.7590389059401792</v>
          </cell>
          <cell r="J20">
            <v>-0.93583065618606032</v>
          </cell>
          <cell r="K20">
            <v>-0.63086935949874978</v>
          </cell>
          <cell r="L20">
            <v>-1.2747486906067282</v>
          </cell>
          <cell r="M20">
            <v>0.80604498859119866</v>
          </cell>
          <cell r="N20">
            <v>1.2159231210536279</v>
          </cell>
          <cell r="O20">
            <v>-3.3524265049051483E-2</v>
          </cell>
          <cell r="P20">
            <v>0.48785178782340444</v>
          </cell>
        </row>
        <row r="21">
          <cell r="A21">
            <v>11</v>
          </cell>
          <cell r="B21" t="str">
            <v>Highbridge Marketing</v>
          </cell>
          <cell r="C21">
            <v>43092</v>
          </cell>
          <cell r="D21">
            <v>12</v>
          </cell>
          <cell r="E21">
            <v>14220</v>
          </cell>
          <cell r="F21">
            <v>7.7646179130513646</v>
          </cell>
          <cell r="G21">
            <v>4.8692503535100542</v>
          </cell>
          <cell r="H21">
            <v>7.5031105505289197</v>
          </cell>
          <cell r="I21">
            <v>4.4935545794001719</v>
          </cell>
          <cell r="J21">
            <v>0.98195460551804303</v>
          </cell>
          <cell r="K21">
            <v>-9.6234309076080507E-2</v>
          </cell>
          <cell r="L21">
            <v>-0.52409099648964463</v>
          </cell>
          <cell r="M21">
            <v>0.82414188835634383</v>
          </cell>
          <cell r="N21">
            <v>-1.0112449027150214</v>
          </cell>
          <cell r="O21">
            <v>5.6444782853712263E-3</v>
          </cell>
          <cell r="P21">
            <v>-1.2113986690827268</v>
          </cell>
        </row>
        <row r="22">
          <cell r="A22">
            <v>12</v>
          </cell>
          <cell r="B22" t="str">
            <v>Island Trading</v>
          </cell>
          <cell r="C22">
            <v>43063</v>
          </cell>
          <cell r="D22">
            <v>10</v>
          </cell>
          <cell r="E22">
            <v>10036</v>
          </cell>
          <cell r="F22">
            <v>7.9094863782830815</v>
          </cell>
          <cell r="G22">
            <v>7.370132134768383</v>
          </cell>
          <cell r="H22">
            <v>4.6547140447890181</v>
          </cell>
          <cell r="I22">
            <v>9.7086059103075701</v>
          </cell>
          <cell r="J22">
            <v>0.27795748413299243</v>
          </cell>
          <cell r="K22">
            <v>-0.31008832924514818</v>
          </cell>
          <cell r="L22">
            <v>-0.77987337226828124</v>
          </cell>
          <cell r="M22">
            <v>0.91879232184173854</v>
          </cell>
          <cell r="N22">
            <v>0.22160331728172741</v>
          </cell>
          <cell r="O22">
            <v>-1.41247565349233</v>
          </cell>
          <cell r="P22">
            <v>1.5023422252803607</v>
          </cell>
        </row>
        <row r="23">
          <cell r="A23">
            <v>13</v>
          </cell>
          <cell r="B23" t="str">
            <v>Kingsgate Goods</v>
          </cell>
          <cell r="C23">
            <v>43070</v>
          </cell>
          <cell r="D23">
            <v>11</v>
          </cell>
          <cell r="E23">
            <v>30350</v>
          </cell>
          <cell r="F23">
            <v>7.6237152667299659</v>
          </cell>
          <cell r="G23">
            <v>9.907697795200237</v>
          </cell>
          <cell r="H23">
            <v>9.1500463585531708</v>
          </cell>
          <cell r="I23">
            <v>5.5542357224150614</v>
          </cell>
          <cell r="J23">
            <v>0.44788782377765984</v>
          </cell>
          <cell r="K23">
            <v>-0.20316131916061436</v>
          </cell>
          <cell r="L23">
            <v>0.4619916328864086</v>
          </cell>
          <cell r="M23">
            <v>0.73208253967595349</v>
          </cell>
          <cell r="N23">
            <v>1.4725354209232684</v>
          </cell>
          <cell r="O23">
            <v>0.8255980277291769</v>
          </cell>
          <cell r="P23">
            <v>-0.65945514810141825</v>
          </cell>
        </row>
        <row r="24">
          <cell r="A24">
            <v>14</v>
          </cell>
          <cell r="B24" t="str">
            <v>Lillegard Drugs</v>
          </cell>
          <cell r="C24">
            <v>42936</v>
          </cell>
          <cell r="D24">
            <v>3</v>
          </cell>
          <cell r="E24">
            <v>3155</v>
          </cell>
          <cell r="F24">
            <v>4.5101671687934539</v>
          </cell>
          <cell r="G24">
            <v>9.2200163563652566</v>
          </cell>
          <cell r="H24">
            <v>9.8871736950305138</v>
          </cell>
          <cell r="I24">
            <v>6.519103358156757</v>
          </cell>
          <cell r="J24">
            <v>-2.8050643922774015</v>
          </cell>
          <cell r="K24">
            <v>-1.0585773998368853</v>
          </cell>
          <cell r="L24">
            <v>-1.2005326762197146</v>
          </cell>
          <cell r="M24">
            <v>-1.3021674724018768</v>
          </cell>
          <cell r="N24">
            <v>1.1335322564610397</v>
          </cell>
          <cell r="O24">
            <v>1.1925887586318813</v>
          </cell>
          <cell r="P24">
            <v>-0.15736981957521265</v>
          </cell>
        </row>
        <row r="25">
          <cell r="A25">
            <v>15</v>
          </cell>
          <cell r="B25" t="str">
            <v>Margot Marketing Inc.</v>
          </cell>
          <cell r="C25">
            <v>43093</v>
          </cell>
          <cell r="D25">
            <v>25</v>
          </cell>
          <cell r="E25">
            <v>37614</v>
          </cell>
          <cell r="F25">
            <v>5.4097235119573135</v>
          </cell>
          <cell r="G25">
            <v>4.8643971725020716</v>
          </cell>
          <cell r="H25">
            <v>8.114628982250089</v>
          </cell>
          <cell r="I25">
            <v>5.1077199787633329</v>
          </cell>
          <cell r="J25">
            <v>1.006230368324424</v>
          </cell>
          <cell r="K25">
            <v>1.2938168220228596</v>
          </cell>
          <cell r="L25">
            <v>0.9060650501082097</v>
          </cell>
          <cell r="M25">
            <v>-0.71443847500545243</v>
          </cell>
          <cell r="N25">
            <v>-1.0136373530946643</v>
          </cell>
          <cell r="O25">
            <v>0.31009879046746386</v>
          </cell>
          <cell r="P25">
            <v>-0.89180722991952854</v>
          </cell>
        </row>
        <row r="26">
          <cell r="A26">
            <v>16</v>
          </cell>
          <cell r="B26" t="str">
            <v>Oceanview LLC</v>
          </cell>
          <cell r="C26">
            <v>42989</v>
          </cell>
          <cell r="D26">
            <v>8</v>
          </cell>
          <cell r="E26">
            <v>5050</v>
          </cell>
          <cell r="F26">
            <v>7.6239587988328044</v>
          </cell>
          <cell r="G26">
            <v>4.1820519766478581</v>
          </cell>
          <cell r="H26">
            <v>4.7823336981822475</v>
          </cell>
          <cell r="I26">
            <v>9.6640497791657918</v>
          </cell>
          <cell r="J26">
            <v>-1.5184489635392058</v>
          </cell>
          <cell r="K26">
            <v>-0.52394234941421591</v>
          </cell>
          <cell r="L26">
            <v>-1.0846847789681573</v>
          </cell>
          <cell r="M26">
            <v>0.73224165242049999</v>
          </cell>
          <cell r="N26">
            <v>-1.3500099343323637</v>
          </cell>
          <cell r="O26">
            <v>-1.3489381511387315</v>
          </cell>
          <cell r="P26">
            <v>1.479156682607474</v>
          </cell>
        </row>
        <row r="27">
          <cell r="A27">
            <v>17</v>
          </cell>
          <cell r="B27" t="str">
            <v>Piccadilly</v>
          </cell>
          <cell r="C27">
            <v>43046</v>
          </cell>
          <cell r="D27">
            <v>14</v>
          </cell>
          <cell r="E27">
            <v>8276</v>
          </cell>
          <cell r="F27">
            <v>7.7359519630039539</v>
          </cell>
          <cell r="G27">
            <v>9.8161799324668522</v>
          </cell>
          <cell r="H27">
            <v>4.4482692850391752</v>
          </cell>
          <cell r="I27">
            <v>6.1664626904715485</v>
          </cell>
          <cell r="J27">
            <v>-0.1347304835754855</v>
          </cell>
          <cell r="K27">
            <v>0.1176197110929872</v>
          </cell>
          <cell r="L27">
            <v>-0.88746825309294664</v>
          </cell>
          <cell r="M27">
            <v>0.80541286686834601</v>
          </cell>
          <cell r="N27">
            <v>1.4274202799300821</v>
          </cell>
          <cell r="O27">
            <v>-1.5152575061281219</v>
          </cell>
          <cell r="P27">
            <v>-0.3408724047254808</v>
          </cell>
        </row>
        <row r="28">
          <cell r="A28">
            <v>18</v>
          </cell>
          <cell r="B28" t="str">
            <v>Quality Plus Drug Supply</v>
          </cell>
          <cell r="C28">
            <v>43084</v>
          </cell>
          <cell r="D28">
            <v>20</v>
          </cell>
          <cell r="E28">
            <v>37571</v>
          </cell>
          <cell r="F28">
            <v>8.1176877548032138</v>
          </cell>
          <cell r="G28">
            <v>9.0821792817376501</v>
          </cell>
          <cell r="H28">
            <v>9.0122455194752344</v>
          </cell>
          <cell r="I28">
            <v>6.2923617355434027</v>
          </cell>
          <cell r="J28">
            <v>0.78774850306699462</v>
          </cell>
          <cell r="K28">
            <v>0.75918177160019029</v>
          </cell>
          <cell r="L28">
            <v>0.90343631154260706</v>
          </cell>
          <cell r="M28">
            <v>1.0548215847207654</v>
          </cell>
          <cell r="N28">
            <v>1.065583346049648</v>
          </cell>
          <cell r="O28">
            <v>0.75699165790724832</v>
          </cell>
          <cell r="P28">
            <v>-0.27535868961631327</v>
          </cell>
        </row>
        <row r="29">
          <cell r="A29">
            <v>19</v>
          </cell>
          <cell r="B29" t="str">
            <v>Queen's Express Distribution</v>
          </cell>
          <cell r="C29">
            <v>43032</v>
          </cell>
          <cell r="D29">
            <v>4</v>
          </cell>
          <cell r="E29">
            <v>1993</v>
          </cell>
          <cell r="F29">
            <v>6.7082460016191359</v>
          </cell>
          <cell r="G29">
            <v>5.6284067316423183</v>
          </cell>
          <cell r="H29">
            <v>9.8028299132439116</v>
          </cell>
          <cell r="I29">
            <v>9.7962643905730484</v>
          </cell>
          <cell r="J29">
            <v>-0.47459116286482028</v>
          </cell>
          <cell r="K29">
            <v>-0.95165038975235128</v>
          </cell>
          <cell r="L29">
            <v>-1.2715697509459996</v>
          </cell>
          <cell r="M29">
            <v>0.13395676643261933</v>
          </cell>
          <cell r="N29">
            <v>-0.63700706528768547</v>
          </cell>
          <cell r="O29">
            <v>1.1505968467962866</v>
          </cell>
          <cell r="P29">
            <v>1.5479568103611097</v>
          </cell>
        </row>
        <row r="30">
          <cell r="A30">
            <v>20</v>
          </cell>
          <cell r="B30" t="str">
            <v>Valley Store Supply</v>
          </cell>
          <cell r="C30">
            <v>43083</v>
          </cell>
          <cell r="D30">
            <v>16</v>
          </cell>
          <cell r="E30">
            <v>37607</v>
          </cell>
          <cell r="F30">
            <v>7.4381572390935125</v>
          </cell>
          <cell r="G30">
            <v>7.3753750649098038</v>
          </cell>
          <cell r="H30">
            <v>9.8660462746485535</v>
          </cell>
          <cell r="I30">
            <v>9.7183366544022718</v>
          </cell>
          <cell r="J30">
            <v>0.76347274026061351</v>
          </cell>
          <cell r="K30">
            <v>0.33147373126205487</v>
          </cell>
          <cell r="L30">
            <v>0.90563711592311158</v>
          </cell>
          <cell r="M30">
            <v>0.61084740596764142</v>
          </cell>
          <cell r="N30">
            <v>0.22418790050387619</v>
          </cell>
          <cell r="O30">
            <v>1.1820701317076407</v>
          </cell>
          <cell r="P30">
            <v>1.5074057839122523</v>
          </cell>
        </row>
      </sheetData>
      <sheetData sheetId="10" refreshError="1">
        <row r="29">
          <cell r="F29">
            <v>1</v>
          </cell>
          <cell r="G29">
            <v>0.99975566888014189</v>
          </cell>
          <cell r="H29">
            <v>0.9994511644570615</v>
          </cell>
          <cell r="I29">
            <v>0.99923965328694553</v>
          </cell>
          <cell r="J29">
            <v>0.99998372176261863</v>
          </cell>
          <cell r="K29">
            <v>0.99956428482035642</v>
          </cell>
        </row>
        <row r="30">
          <cell r="F30">
            <v>0.99975566888014189</v>
          </cell>
          <cell r="G30">
            <v>1</v>
          </cell>
          <cell r="H30">
            <v>0.99938793324039543</v>
          </cell>
          <cell r="I30">
            <v>0.99944738928900967</v>
          </cell>
          <cell r="J30">
            <v>0.99982262178921388</v>
          </cell>
          <cell r="K30">
            <v>0.99973229767366034</v>
          </cell>
        </row>
        <row r="31">
          <cell r="F31">
            <v>0.9994511644570615</v>
          </cell>
          <cell r="G31">
            <v>0.99938793324039543</v>
          </cell>
          <cell r="H31">
            <v>1</v>
          </cell>
          <cell r="I31">
            <v>0.99924911627382407</v>
          </cell>
          <cell r="J31">
            <v>0.99953811840531526</v>
          </cell>
          <cell r="K31">
            <v>0.99990241536952706</v>
          </cell>
        </row>
        <row r="32">
          <cell r="F32">
            <v>0.99923965328694553</v>
          </cell>
          <cell r="G32">
            <v>0.99944738928900967</v>
          </cell>
          <cell r="H32">
            <v>0.99924911627382407</v>
          </cell>
          <cell r="I32">
            <v>1</v>
          </cell>
          <cell r="J32">
            <v>0.99944042021355506</v>
          </cell>
          <cell r="K32">
            <v>0.99948513697879726</v>
          </cell>
        </row>
        <row r="33">
          <cell r="F33">
            <v>0.99998372176261863</v>
          </cell>
          <cell r="G33">
            <v>0.99982262178921388</v>
          </cell>
          <cell r="H33">
            <v>0.99953811840531526</v>
          </cell>
          <cell r="I33">
            <v>0.99944042021355506</v>
          </cell>
          <cell r="J33">
            <v>1</v>
          </cell>
          <cell r="K33">
            <v>0.99967233690352275</v>
          </cell>
        </row>
        <row r="34">
          <cell r="F34">
            <v>0.99956428482035642</v>
          </cell>
          <cell r="G34">
            <v>0.99973229767366034</v>
          </cell>
          <cell r="H34">
            <v>0.99990241536952706</v>
          </cell>
          <cell r="I34">
            <v>0.99948513697879726</v>
          </cell>
          <cell r="J34">
            <v>0.99967233690352275</v>
          </cell>
          <cell r="K34">
            <v>1</v>
          </cell>
        </row>
        <row r="47">
          <cell r="F47">
            <v>1000000</v>
          </cell>
          <cell r="G47">
            <v>129.1179205168965</v>
          </cell>
          <cell r="H47">
            <v>31.931166860534255</v>
          </cell>
          <cell r="I47">
            <v>1.2849514220329803</v>
          </cell>
          <cell r="J47">
            <v>55.668566488975372</v>
          </cell>
          <cell r="K47">
            <v>5.8395870919809632</v>
          </cell>
        </row>
        <row r="48">
          <cell r="F48">
            <v>47.312393977981031</v>
          </cell>
          <cell r="G48">
            <v>1000000</v>
          </cell>
          <cell r="H48">
            <v>1.2873062672379487</v>
          </cell>
          <cell r="I48">
            <v>5.2197322400245856</v>
          </cell>
          <cell r="J48">
            <v>44.28199694862316</v>
          </cell>
          <cell r="K48">
            <v>349.91142362585538</v>
          </cell>
        </row>
        <row r="49">
          <cell r="F49">
            <v>21.013990336323271</v>
          </cell>
          <cell r="G49">
            <v>5.2136685586537599</v>
          </cell>
          <cell r="H49">
            <v>1000000</v>
          </cell>
          <cell r="I49">
            <v>2.0381136573948226</v>
          </cell>
          <cell r="J49">
            <v>13.545093879449318</v>
          </cell>
          <cell r="K49">
            <v>197.40110889152086</v>
          </cell>
        </row>
        <row r="50">
          <cell r="F50">
            <v>0.4417565907924445</v>
          </cell>
          <cell r="G50">
            <v>39.694664690907736</v>
          </cell>
          <cell r="H50">
            <v>4.1021679422734989</v>
          </cell>
          <cell r="I50">
            <v>1000000</v>
          </cell>
          <cell r="J50">
            <v>2.3539586221577768</v>
          </cell>
          <cell r="K50">
            <v>36.432775576516441</v>
          </cell>
        </row>
        <row r="51">
          <cell r="F51">
            <v>278.9180108451402</v>
          </cell>
          <cell r="G51">
            <v>49.982577196342838</v>
          </cell>
          <cell r="H51">
            <v>43.903883508652306</v>
          </cell>
          <cell r="I51">
            <v>126.40217972672838</v>
          </cell>
          <cell r="J51">
            <v>1000000</v>
          </cell>
          <cell r="K51">
            <v>896.91045611604443</v>
          </cell>
        </row>
        <row r="52">
          <cell r="F52">
            <v>5.947449284211209</v>
          </cell>
          <cell r="G52">
            <v>538.83135070247374</v>
          </cell>
          <cell r="H52">
            <v>229.18420492998879</v>
          </cell>
          <cell r="I52">
            <v>42.602795103427361</v>
          </cell>
          <cell r="J52">
            <v>429.77342002346404</v>
          </cell>
          <cell r="K52">
            <v>1000000</v>
          </cell>
        </row>
        <row r="56">
          <cell r="F56">
            <v>31</v>
          </cell>
          <cell r="G56">
            <v>23</v>
          </cell>
          <cell r="H56">
            <v>13</v>
          </cell>
          <cell r="I56">
            <v>2</v>
          </cell>
          <cell r="J56">
            <v>21</v>
          </cell>
          <cell r="K56">
            <v>9</v>
          </cell>
        </row>
        <row r="57">
          <cell r="F57">
            <v>19</v>
          </cell>
          <cell r="G57">
            <v>31</v>
          </cell>
          <cell r="H57">
            <v>3</v>
          </cell>
          <cell r="I57">
            <v>8</v>
          </cell>
          <cell r="J57">
            <v>18</v>
          </cell>
          <cell r="K57">
            <v>27</v>
          </cell>
        </row>
        <row r="58">
          <cell r="F58">
            <v>12</v>
          </cell>
          <cell r="G58">
            <v>7</v>
          </cell>
          <cell r="H58">
            <v>31</v>
          </cell>
          <cell r="I58">
            <v>4</v>
          </cell>
          <cell r="J58">
            <v>11</v>
          </cell>
          <cell r="K58">
            <v>24</v>
          </cell>
        </row>
        <row r="59">
          <cell r="F59">
            <v>1</v>
          </cell>
          <cell r="G59">
            <v>15</v>
          </cell>
          <cell r="H59">
            <v>6</v>
          </cell>
          <cell r="I59">
            <v>31</v>
          </cell>
          <cell r="J59">
            <v>5</v>
          </cell>
          <cell r="K59">
            <v>14</v>
          </cell>
        </row>
        <row r="60">
          <cell r="F60">
            <v>26</v>
          </cell>
          <cell r="G60">
            <v>20</v>
          </cell>
          <cell r="H60">
            <v>17</v>
          </cell>
          <cell r="I60">
            <v>22</v>
          </cell>
          <cell r="J60">
            <v>31</v>
          </cell>
          <cell r="K60">
            <v>30</v>
          </cell>
        </row>
        <row r="61">
          <cell r="F61">
            <v>10</v>
          </cell>
          <cell r="G61">
            <v>29</v>
          </cell>
          <cell r="H61">
            <v>25</v>
          </cell>
          <cell r="I61">
            <v>16</v>
          </cell>
          <cell r="J61">
            <v>28</v>
          </cell>
          <cell r="K61">
            <v>31</v>
          </cell>
        </row>
      </sheetData>
      <sheetData sheetId="11" refreshError="1">
        <row r="7">
          <cell r="B7">
            <v>0.05</v>
          </cell>
        </row>
        <row r="8">
          <cell r="B8">
            <v>0.89999691224537837</v>
          </cell>
        </row>
      </sheetData>
      <sheetData sheetId="12" refreshError="1"/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ap A &amp; B"/>
      <sheetName val="soap cluster 3"/>
      <sheetName val="soap cluster 4"/>
      <sheetName val="soap cluster 5"/>
      <sheetName val="Product A &amp; B"/>
      <sheetName val="Multiple Products"/>
      <sheetName val="Conjoint"/>
      <sheetName val="Trend &amp; Seasonality"/>
      <sheetName val="Single &amp; Multiple Pricing"/>
      <sheetName val="S-curve"/>
      <sheetName val="RFM"/>
      <sheetName val="Cluster"/>
      <sheetName val="MDS"/>
      <sheetName val="CLV"/>
      <sheetName val="Forecast"/>
      <sheetName val="Point 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4">
          <cell r="F14">
            <v>170.98956688731698</v>
          </cell>
          <cell r="H14">
            <v>50.008073436424908</v>
          </cell>
        </row>
      </sheetData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ap A &amp; B"/>
      <sheetName val="Product A &amp; B"/>
      <sheetName val="Multiple Products"/>
      <sheetName val="Conjoint"/>
      <sheetName val="Trend &amp; Seasonality"/>
      <sheetName val="Single &amp; Multiple Pricing"/>
      <sheetName val="S-curve"/>
      <sheetName val="RFM"/>
      <sheetName val="Cluster"/>
      <sheetName val="MDS"/>
      <sheetName val="CLV"/>
      <sheetName val="Forecast"/>
      <sheetName val="Point 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">
          <cell r="N3">
            <v>1</v>
          </cell>
          <cell r="O3">
            <v>1</v>
          </cell>
        </row>
        <row r="4">
          <cell r="N4">
            <v>2</v>
          </cell>
          <cell r="O4">
            <v>6</v>
          </cell>
        </row>
        <row r="5">
          <cell r="N5">
            <v>3</v>
          </cell>
          <cell r="O5">
            <v>11</v>
          </cell>
        </row>
        <row r="6">
          <cell r="N6">
            <v>4</v>
          </cell>
          <cell r="O6">
            <v>16</v>
          </cell>
        </row>
        <row r="11">
          <cell r="C11">
            <v>43073</v>
          </cell>
          <cell r="D11">
            <v>10</v>
          </cell>
          <cell r="E11">
            <v>37600</v>
          </cell>
        </row>
        <row r="12">
          <cell r="C12">
            <v>43086</v>
          </cell>
          <cell r="D12">
            <v>41</v>
          </cell>
          <cell r="E12">
            <v>37517</v>
          </cell>
        </row>
        <row r="13">
          <cell r="C13">
            <v>42996</v>
          </cell>
          <cell r="D13">
            <v>5</v>
          </cell>
          <cell r="E13">
            <v>37553</v>
          </cell>
        </row>
        <row r="14">
          <cell r="C14">
            <v>43085</v>
          </cell>
          <cell r="D14">
            <v>11</v>
          </cell>
          <cell r="E14">
            <v>37587</v>
          </cell>
        </row>
        <row r="15">
          <cell r="C15">
            <v>43053</v>
          </cell>
          <cell r="D15">
            <v>7</v>
          </cell>
          <cell r="E15">
            <v>37590</v>
          </cell>
        </row>
        <row r="16">
          <cell r="C16">
            <v>43076</v>
          </cell>
          <cell r="D16">
            <v>24</v>
          </cell>
          <cell r="E16">
            <v>37581</v>
          </cell>
        </row>
        <row r="17">
          <cell r="C17">
            <v>43032</v>
          </cell>
          <cell r="D17">
            <v>3</v>
          </cell>
          <cell r="E17">
            <v>3172</v>
          </cell>
        </row>
        <row r="18">
          <cell r="C18">
            <v>43069</v>
          </cell>
          <cell r="D18">
            <v>7</v>
          </cell>
          <cell r="E18">
            <v>1832</v>
          </cell>
        </row>
        <row r="19">
          <cell r="C19">
            <v>43060</v>
          </cell>
          <cell r="D19">
            <v>20</v>
          </cell>
          <cell r="E19">
            <v>37613</v>
          </cell>
        </row>
        <row r="20">
          <cell r="C20">
            <v>43013</v>
          </cell>
          <cell r="D20">
            <v>7</v>
          </cell>
          <cell r="E20">
            <v>1941</v>
          </cell>
        </row>
        <row r="21">
          <cell r="C21">
            <v>43092</v>
          </cell>
          <cell r="D21">
            <v>12</v>
          </cell>
          <cell r="E21">
            <v>14220</v>
          </cell>
        </row>
        <row r="22">
          <cell r="C22">
            <v>43063</v>
          </cell>
          <cell r="D22">
            <v>10</v>
          </cell>
          <cell r="E22">
            <v>10036</v>
          </cell>
        </row>
        <row r="23">
          <cell r="C23">
            <v>43070</v>
          </cell>
          <cell r="D23">
            <v>11</v>
          </cell>
          <cell r="E23">
            <v>30350</v>
          </cell>
        </row>
        <row r="24">
          <cell r="C24">
            <v>42936</v>
          </cell>
          <cell r="D24">
            <v>3</v>
          </cell>
          <cell r="E24">
            <v>3155</v>
          </cell>
        </row>
        <row r="25">
          <cell r="C25">
            <v>43093</v>
          </cell>
          <cell r="D25">
            <v>25</v>
          </cell>
          <cell r="E25">
            <v>37614</v>
          </cell>
        </row>
        <row r="26">
          <cell r="C26">
            <v>42989</v>
          </cell>
          <cell r="D26">
            <v>8</v>
          </cell>
          <cell r="E26">
            <v>5050</v>
          </cell>
        </row>
        <row r="27">
          <cell r="C27">
            <v>43046</v>
          </cell>
          <cell r="D27">
            <v>14</v>
          </cell>
          <cell r="E27">
            <v>8276</v>
          </cell>
        </row>
        <row r="28">
          <cell r="C28">
            <v>43084</v>
          </cell>
          <cell r="D28">
            <v>20</v>
          </cell>
          <cell r="E28">
            <v>37571</v>
          </cell>
        </row>
        <row r="29">
          <cell r="C29">
            <v>43032</v>
          </cell>
          <cell r="D29">
            <v>4</v>
          </cell>
          <cell r="E29">
            <v>1993</v>
          </cell>
        </row>
        <row r="30">
          <cell r="C30">
            <v>43083</v>
          </cell>
          <cell r="D30">
            <v>16</v>
          </cell>
          <cell r="E30">
            <v>37607</v>
          </cell>
        </row>
      </sheetData>
      <sheetData sheetId="8">
        <row r="7">
          <cell r="B7">
            <v>1</v>
          </cell>
        </row>
        <row r="27">
          <cell r="R27">
            <v>43030.222222222219</v>
          </cell>
          <cell r="S27">
            <v>7.5555555555555554</v>
          </cell>
          <cell r="T27">
            <v>5519.4444444444443</v>
          </cell>
          <cell r="U27">
            <v>6.6046891428687466</v>
          </cell>
          <cell r="V27">
            <v>7.0091256443505552</v>
          </cell>
          <cell r="W27">
            <v>7.116639155723238</v>
          </cell>
          <cell r="X27">
            <v>7.2442522450630662</v>
          </cell>
          <cell r="Z27">
            <v>43069</v>
          </cell>
          <cell r="AA27">
            <v>17.272727272727273</v>
          </cell>
          <cell r="AB27">
            <v>36925.727272727272</v>
          </cell>
          <cell r="AC27">
            <v>6.4201938136160921</v>
          </cell>
          <cell r="AD27">
            <v>6.8481716872421536</v>
          </cell>
          <cell r="AE27">
            <v>7.7987010708209024</v>
          </cell>
          <cell r="AF27">
            <v>6.4756557199007068</v>
          </cell>
          <cell r="AH27" t="e">
            <v>#DIV/0!</v>
          </cell>
          <cell r="AI27" t="e">
            <v>#DIV/0!</v>
          </cell>
          <cell r="AJ27" t="e">
            <v>#DIV/0!</v>
          </cell>
          <cell r="AK27" t="e">
            <v>#DIV/0!</v>
          </cell>
          <cell r="AL27" t="e">
            <v>#DIV/0!</v>
          </cell>
          <cell r="AM27" t="e">
            <v>#DIV/0!</v>
          </cell>
          <cell r="AN27" t="e">
            <v>#DIV/0!</v>
          </cell>
        </row>
        <row r="29">
          <cell r="B29">
            <v>1</v>
          </cell>
          <cell r="C29" t="str">
            <v>Fraser Distributors</v>
          </cell>
          <cell r="D29">
            <v>43069</v>
          </cell>
          <cell r="E29">
            <v>7</v>
          </cell>
          <cell r="F29">
            <v>1832</v>
          </cell>
          <cell r="G29">
            <v>4.7388254081855097</v>
          </cell>
          <cell r="H29">
            <v>4.6733421826995363</v>
          </cell>
          <cell r="I29">
            <v>7.0256381986670799</v>
          </cell>
          <cell r="J29">
            <v>4.1910765018189471</v>
          </cell>
        </row>
        <row r="30">
          <cell r="B30">
            <v>16</v>
          </cell>
          <cell r="C30" t="str">
            <v>Dollarwise Corp</v>
          </cell>
          <cell r="D30">
            <v>43053</v>
          </cell>
          <cell r="E30">
            <v>7</v>
          </cell>
          <cell r="F30">
            <v>37590</v>
          </cell>
          <cell r="G30">
            <v>4.5964874397234921</v>
          </cell>
          <cell r="H30">
            <v>4.5268592636652016</v>
          </cell>
          <cell r="I30">
            <v>5.52203981805566</v>
          </cell>
          <cell r="J30">
            <v>9.6267552801836231</v>
          </cell>
        </row>
        <row r="31">
          <cell r="B31">
            <v>1</v>
          </cell>
          <cell r="C31" t="str">
            <v>Fraser Distributors</v>
          </cell>
          <cell r="D31">
            <v>43069</v>
          </cell>
          <cell r="E31">
            <v>7</v>
          </cell>
          <cell r="F31">
            <v>1832</v>
          </cell>
          <cell r="G31">
            <v>4.7388254081855097</v>
          </cell>
          <cell r="H31">
            <v>4.6733421826995363</v>
          </cell>
          <cell r="I31">
            <v>7.0256381986670799</v>
          </cell>
          <cell r="J31">
            <v>4.1910765018189471</v>
          </cell>
        </row>
      </sheetData>
      <sheetData sheetId="9"/>
      <sheetData sheetId="10"/>
      <sheetData sheetId="11"/>
      <sheetData sheetId="1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binations"/>
      <sheetName val="Secondary Axis"/>
      <sheetName val="Sales Tracker"/>
      <sheetName val="Labels and Tables"/>
      <sheetName val="Picture"/>
      <sheetName val="Dynamic Labels"/>
      <sheetName val="Sparklines"/>
      <sheetName val="Survey PivotChart"/>
      <sheetName val="Survey Data"/>
      <sheetName val="End of Month Dashboard"/>
      <sheetName val="Checkboxes"/>
      <sheetName val="Housing starts"/>
      <sheetName val="New data"/>
      <sheetName val="Secondary_Axis"/>
      <sheetName val="Sales_Tracker"/>
      <sheetName val="Labels_and_Tables"/>
      <sheetName val="Dynamic_Labels"/>
      <sheetName val="Survey_PivotChart"/>
      <sheetName val="Survey_Data"/>
      <sheetName val="End_of_Month_Dashboard"/>
      <sheetName val="Housing_starts"/>
      <sheetName val="New_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">
          <cell r="D1">
            <v>2000</v>
          </cell>
        </row>
        <row r="2">
          <cell r="D2">
            <v>1000</v>
          </cell>
        </row>
        <row r="3">
          <cell r="D3">
            <v>0.2</v>
          </cell>
        </row>
      </sheetData>
      <sheetData sheetId="6" refreshError="1"/>
      <sheetData sheetId="7" refreshError="1"/>
      <sheetData sheetId="8" refreshError="1"/>
      <sheetData sheetId="9" refreshError="1"/>
      <sheetData sheetId="10">
        <row r="5">
          <cell r="O5" t="str">
            <v>Chocolate</v>
          </cell>
        </row>
      </sheetData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ar"/>
      <sheetName val="gomp"/>
      <sheetName val="Sheet2"/>
      <sheetName val="Sheet3"/>
    </sheetNames>
    <sheetDataSet>
      <sheetData sheetId="0"/>
      <sheetData sheetId="1" refreshError="1">
        <row r="3">
          <cell r="H3">
            <v>1.1629672421955843</v>
          </cell>
          <cell r="I3">
            <v>0.17121084148475277</v>
          </cell>
          <cell r="J3">
            <v>2.8234669886546802</v>
          </cell>
        </row>
      </sheetData>
      <sheetData sheetId="2"/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ap A &amp; B"/>
      <sheetName val="Answer - Soap A &amp; B"/>
      <sheetName val="Regression Answer A"/>
      <sheetName val="Regression Answer Both"/>
      <sheetName val="Regression Answer - Soap A &amp; B"/>
      <sheetName val="soap cluster 3"/>
      <sheetName val="soap cluster 4"/>
      <sheetName val="soap cluster 5"/>
      <sheetName val="Multiple Products"/>
      <sheetName val="Product A &amp; B"/>
      <sheetName val="Conjoint"/>
      <sheetName val="Conjoint (answer)"/>
      <sheetName val="Trend &amp; Seasonality"/>
      <sheetName val="Trend &amp; Seasonality (Additive4)"/>
      <sheetName val="Trend &amp; Seasonality (Additive8)"/>
      <sheetName val="Trend &amp; Seasonality (Multipl4)"/>
      <sheetName val="Trend &amp; Seasonality (Multipl8)"/>
      <sheetName val="Single (Ans) &amp; Multiple Pricing"/>
      <sheetName val="Single &amp; Multiple Pricing (Ans)"/>
      <sheetName val="S-curve"/>
      <sheetName val="S-curve Gompertz"/>
      <sheetName val="S-curve Pearl"/>
      <sheetName val="RFM"/>
      <sheetName val="RFM (2)"/>
      <sheetName val="Cluster"/>
      <sheetName val="Cluster (Answer)"/>
      <sheetName val="MDS"/>
      <sheetName val="MDS (VSRank)"/>
      <sheetName val="MDS (VRank)"/>
      <sheetName val="MDS (zscore)"/>
      <sheetName val="MDS (Sum)"/>
      <sheetName val="CLV"/>
      <sheetName val="CLV Answer"/>
      <sheetName val="Forecast"/>
      <sheetName val="Point Sheet"/>
      <sheetName val="Single &amp; Multiple Pricing (New)"/>
    </sheetNames>
    <sheetDataSet>
      <sheetData sheetId="0"/>
      <sheetData sheetId="1">
        <row r="2">
          <cell r="B2" t="str">
            <v>Soap A</v>
          </cell>
          <cell r="C2">
            <v>2</v>
          </cell>
          <cell r="D2">
            <v>9</v>
          </cell>
        </row>
        <row r="3">
          <cell r="B3" t="str">
            <v>Soap A</v>
          </cell>
          <cell r="C3">
            <v>2</v>
          </cell>
          <cell r="D3">
            <v>10</v>
          </cell>
        </row>
        <row r="4">
          <cell r="B4" t="str">
            <v>Soap A</v>
          </cell>
          <cell r="C4">
            <v>2</v>
          </cell>
          <cell r="D4">
            <v>3</v>
          </cell>
        </row>
        <row r="5">
          <cell r="B5" t="str">
            <v>Soap A</v>
          </cell>
          <cell r="C5">
            <v>2</v>
          </cell>
          <cell r="D5">
            <v>0</v>
          </cell>
        </row>
        <row r="6">
          <cell r="B6" t="str">
            <v>Soap A</v>
          </cell>
          <cell r="C6">
            <v>2</v>
          </cell>
          <cell r="D6">
            <v>10</v>
          </cell>
        </row>
        <row r="7">
          <cell r="B7" t="str">
            <v>Soap A</v>
          </cell>
          <cell r="C7">
            <v>2</v>
          </cell>
          <cell r="D7">
            <v>2</v>
          </cell>
        </row>
        <row r="8">
          <cell r="B8" t="str">
            <v>Soap A</v>
          </cell>
          <cell r="C8">
            <v>2</v>
          </cell>
          <cell r="D8">
            <v>2</v>
          </cell>
        </row>
        <row r="9">
          <cell r="B9" t="str">
            <v>Soap A</v>
          </cell>
          <cell r="C9">
            <v>2</v>
          </cell>
          <cell r="D9">
            <v>2</v>
          </cell>
        </row>
        <row r="10">
          <cell r="B10" t="str">
            <v>Soap A</v>
          </cell>
          <cell r="C10">
            <v>2</v>
          </cell>
          <cell r="D10">
            <v>2</v>
          </cell>
        </row>
        <row r="11">
          <cell r="B11" t="str">
            <v>Soap A</v>
          </cell>
          <cell r="C11">
            <v>2</v>
          </cell>
          <cell r="D11">
            <v>4</v>
          </cell>
        </row>
        <row r="12">
          <cell r="B12" t="str">
            <v>Soap A</v>
          </cell>
          <cell r="C12">
            <v>2</v>
          </cell>
          <cell r="D12">
            <v>6</v>
          </cell>
        </row>
        <row r="13">
          <cell r="B13" t="str">
            <v>Soap A</v>
          </cell>
          <cell r="C13">
            <v>2</v>
          </cell>
          <cell r="D13">
            <v>5</v>
          </cell>
        </row>
        <row r="14">
          <cell r="B14" t="str">
            <v>Soap A</v>
          </cell>
          <cell r="C14">
            <v>2</v>
          </cell>
          <cell r="D14">
            <v>2</v>
          </cell>
        </row>
        <row r="15">
          <cell r="B15" t="str">
            <v>Soap A</v>
          </cell>
          <cell r="C15">
            <v>2</v>
          </cell>
          <cell r="D15">
            <v>5</v>
          </cell>
        </row>
        <row r="16">
          <cell r="B16" t="str">
            <v>Soap A</v>
          </cell>
          <cell r="C16">
            <v>2</v>
          </cell>
          <cell r="D16">
            <v>9</v>
          </cell>
        </row>
        <row r="17">
          <cell r="B17" t="str">
            <v>Soap A</v>
          </cell>
          <cell r="C17">
            <v>2</v>
          </cell>
          <cell r="D17">
            <v>5</v>
          </cell>
        </row>
        <row r="18">
          <cell r="B18" t="str">
            <v>Soap A</v>
          </cell>
          <cell r="C18">
            <v>2</v>
          </cell>
          <cell r="D18">
            <v>10</v>
          </cell>
        </row>
        <row r="19">
          <cell r="B19" t="str">
            <v>Soap A</v>
          </cell>
          <cell r="C19">
            <v>2</v>
          </cell>
          <cell r="D19">
            <v>6</v>
          </cell>
        </row>
        <row r="20">
          <cell r="B20" t="str">
            <v>Soap A</v>
          </cell>
          <cell r="C20">
            <v>2</v>
          </cell>
          <cell r="D20">
            <v>10</v>
          </cell>
        </row>
        <row r="21">
          <cell r="B21" t="str">
            <v>Soap A</v>
          </cell>
          <cell r="C21">
            <v>2</v>
          </cell>
          <cell r="D21">
            <v>2</v>
          </cell>
        </row>
        <row r="22">
          <cell r="B22" t="str">
            <v>Soap A</v>
          </cell>
          <cell r="C22">
            <v>2</v>
          </cell>
          <cell r="D22">
            <v>9</v>
          </cell>
        </row>
        <row r="23">
          <cell r="B23" t="str">
            <v>Soap A</v>
          </cell>
          <cell r="C23">
            <v>2</v>
          </cell>
          <cell r="D23">
            <v>9</v>
          </cell>
        </row>
        <row r="24">
          <cell r="B24" t="str">
            <v>Soap A</v>
          </cell>
          <cell r="C24">
            <v>2</v>
          </cell>
          <cell r="D24">
            <v>0</v>
          </cell>
        </row>
        <row r="25">
          <cell r="B25" t="str">
            <v>Soap A</v>
          </cell>
          <cell r="C25">
            <v>2</v>
          </cell>
          <cell r="D25">
            <v>2</v>
          </cell>
        </row>
        <row r="26">
          <cell r="B26" t="str">
            <v>Soap A</v>
          </cell>
          <cell r="C26">
            <v>2</v>
          </cell>
          <cell r="D26">
            <v>2</v>
          </cell>
        </row>
        <row r="27">
          <cell r="B27" t="str">
            <v>Soap A</v>
          </cell>
          <cell r="C27">
            <v>2</v>
          </cell>
          <cell r="D27">
            <v>10</v>
          </cell>
        </row>
        <row r="28">
          <cell r="B28" t="str">
            <v>Soap A</v>
          </cell>
          <cell r="C28">
            <v>2</v>
          </cell>
          <cell r="D28">
            <v>4</v>
          </cell>
        </row>
        <row r="29">
          <cell r="B29" t="str">
            <v>Soap A</v>
          </cell>
          <cell r="C29">
            <v>2</v>
          </cell>
          <cell r="D29">
            <v>9</v>
          </cell>
        </row>
        <row r="30">
          <cell r="B30" t="str">
            <v>Soap A</v>
          </cell>
          <cell r="C30">
            <v>2</v>
          </cell>
          <cell r="D30">
            <v>8</v>
          </cell>
        </row>
        <row r="31">
          <cell r="B31" t="str">
            <v>Soap A</v>
          </cell>
          <cell r="C31">
            <v>2.2999999999999998</v>
          </cell>
          <cell r="D31">
            <v>4</v>
          </cell>
        </row>
        <row r="32">
          <cell r="B32" t="str">
            <v>Soap A</v>
          </cell>
          <cell r="C32">
            <v>2.2999999999999998</v>
          </cell>
          <cell r="D32">
            <v>7</v>
          </cell>
        </row>
        <row r="33">
          <cell r="B33" t="str">
            <v>Soap A</v>
          </cell>
          <cell r="C33">
            <v>2.2999999999999998</v>
          </cell>
          <cell r="D33">
            <v>3</v>
          </cell>
        </row>
        <row r="34">
          <cell r="B34" t="str">
            <v>Soap A</v>
          </cell>
          <cell r="C34">
            <v>2.2999999999999998</v>
          </cell>
          <cell r="D34">
            <v>7</v>
          </cell>
        </row>
        <row r="35">
          <cell r="B35" t="str">
            <v>Soap A</v>
          </cell>
          <cell r="C35">
            <v>2.2999999999999998</v>
          </cell>
          <cell r="D35">
            <v>1</v>
          </cell>
        </row>
        <row r="36">
          <cell r="B36" t="str">
            <v>Soap A</v>
          </cell>
          <cell r="C36">
            <v>2.2999999999999998</v>
          </cell>
          <cell r="D36">
            <v>4</v>
          </cell>
        </row>
        <row r="37">
          <cell r="B37" t="str">
            <v>Soap A</v>
          </cell>
          <cell r="C37">
            <v>2.2999999999999998</v>
          </cell>
          <cell r="D37">
            <v>6</v>
          </cell>
        </row>
        <row r="38">
          <cell r="B38" t="str">
            <v>Soap A</v>
          </cell>
          <cell r="C38">
            <v>2.2999999999999998</v>
          </cell>
          <cell r="D38">
            <v>6</v>
          </cell>
        </row>
        <row r="39">
          <cell r="B39" t="str">
            <v>Soap A</v>
          </cell>
          <cell r="C39">
            <v>2.2999999999999998</v>
          </cell>
          <cell r="D39">
            <v>0</v>
          </cell>
        </row>
        <row r="40">
          <cell r="B40" t="str">
            <v>Soap A</v>
          </cell>
          <cell r="C40">
            <v>2.2999999999999998</v>
          </cell>
          <cell r="D40">
            <v>6</v>
          </cell>
        </row>
        <row r="41">
          <cell r="B41" t="str">
            <v>Soap A</v>
          </cell>
          <cell r="C41">
            <v>2.2999999999999998</v>
          </cell>
          <cell r="D41">
            <v>1</v>
          </cell>
        </row>
        <row r="42">
          <cell r="B42" t="str">
            <v>Soap A</v>
          </cell>
          <cell r="C42">
            <v>2.2999999999999998</v>
          </cell>
          <cell r="D42">
            <v>2</v>
          </cell>
        </row>
        <row r="43">
          <cell r="B43" t="str">
            <v>Soap A</v>
          </cell>
          <cell r="C43">
            <v>2.2999999999999998</v>
          </cell>
          <cell r="D43">
            <v>7</v>
          </cell>
        </row>
        <row r="44">
          <cell r="B44" t="str">
            <v>Soap A</v>
          </cell>
          <cell r="C44">
            <v>2.2999999999999998</v>
          </cell>
          <cell r="D44">
            <v>0</v>
          </cell>
        </row>
        <row r="45">
          <cell r="B45" t="str">
            <v>Soap A</v>
          </cell>
          <cell r="C45">
            <v>2.2999999999999998</v>
          </cell>
          <cell r="D45">
            <v>6</v>
          </cell>
        </row>
        <row r="46">
          <cell r="B46" t="str">
            <v>Soap A</v>
          </cell>
          <cell r="C46">
            <v>2.2999999999999998</v>
          </cell>
          <cell r="D46">
            <v>0</v>
          </cell>
        </row>
        <row r="47">
          <cell r="B47" t="str">
            <v>Soap A</v>
          </cell>
          <cell r="C47">
            <v>2.2999999999999998</v>
          </cell>
          <cell r="D47">
            <v>6</v>
          </cell>
        </row>
        <row r="48">
          <cell r="B48" t="str">
            <v>Soap A</v>
          </cell>
          <cell r="C48">
            <v>2.2999999999999998</v>
          </cell>
          <cell r="D48">
            <v>2</v>
          </cell>
        </row>
        <row r="49">
          <cell r="B49" t="str">
            <v>Soap A</v>
          </cell>
          <cell r="C49">
            <v>2.2999999999999998</v>
          </cell>
          <cell r="D49">
            <v>1</v>
          </cell>
        </row>
        <row r="50">
          <cell r="B50" t="str">
            <v>Soap A</v>
          </cell>
          <cell r="C50">
            <v>2.2999999999999998</v>
          </cell>
          <cell r="D50">
            <v>7</v>
          </cell>
        </row>
        <row r="51">
          <cell r="B51" t="str">
            <v>Soap A</v>
          </cell>
          <cell r="C51">
            <v>2.2999999999999998</v>
          </cell>
          <cell r="D51">
            <v>2</v>
          </cell>
        </row>
        <row r="52">
          <cell r="B52" t="str">
            <v>Soap A</v>
          </cell>
          <cell r="C52">
            <v>2.2999999999999998</v>
          </cell>
          <cell r="D52">
            <v>1</v>
          </cell>
        </row>
        <row r="53">
          <cell r="B53" t="str">
            <v>Soap A</v>
          </cell>
          <cell r="C53">
            <v>2.2999999999999998</v>
          </cell>
          <cell r="D53">
            <v>3</v>
          </cell>
        </row>
        <row r="54">
          <cell r="B54" t="str">
            <v>Soap A</v>
          </cell>
          <cell r="C54">
            <v>2.2999999999999998</v>
          </cell>
          <cell r="D54">
            <v>7</v>
          </cell>
        </row>
        <row r="55">
          <cell r="B55" t="str">
            <v>Soap A</v>
          </cell>
          <cell r="C55">
            <v>2.2999999999999998</v>
          </cell>
          <cell r="D55">
            <v>5</v>
          </cell>
        </row>
        <row r="56">
          <cell r="B56" t="str">
            <v>Soap A</v>
          </cell>
          <cell r="C56">
            <v>2.2999999999999998</v>
          </cell>
          <cell r="D56">
            <v>7</v>
          </cell>
        </row>
        <row r="57">
          <cell r="B57" t="str">
            <v>Soap A</v>
          </cell>
          <cell r="C57">
            <v>2.2999999999999998</v>
          </cell>
          <cell r="D57">
            <v>1</v>
          </cell>
        </row>
        <row r="58">
          <cell r="B58" t="str">
            <v>Soap A</v>
          </cell>
          <cell r="C58">
            <v>2.2999999999999998</v>
          </cell>
          <cell r="D58">
            <v>2</v>
          </cell>
        </row>
        <row r="59">
          <cell r="B59" t="str">
            <v>Soap A</v>
          </cell>
          <cell r="C59">
            <v>2.2999999999999998</v>
          </cell>
          <cell r="D59">
            <v>4</v>
          </cell>
        </row>
        <row r="60">
          <cell r="B60" t="str">
            <v>Soap A</v>
          </cell>
          <cell r="C60">
            <v>2.2999999999999998</v>
          </cell>
          <cell r="D60">
            <v>6</v>
          </cell>
        </row>
        <row r="61">
          <cell r="B61" t="str">
            <v>Soap B</v>
          </cell>
          <cell r="C61">
            <v>2.5</v>
          </cell>
          <cell r="D61">
            <v>8</v>
          </cell>
        </row>
        <row r="62">
          <cell r="B62" t="str">
            <v>Soap B</v>
          </cell>
          <cell r="C62">
            <v>2.5</v>
          </cell>
          <cell r="D62">
            <v>9</v>
          </cell>
        </row>
        <row r="63">
          <cell r="B63" t="str">
            <v>Soap B</v>
          </cell>
          <cell r="C63">
            <v>2.5</v>
          </cell>
          <cell r="D63">
            <v>6</v>
          </cell>
        </row>
        <row r="64">
          <cell r="B64" t="str">
            <v>Soap B</v>
          </cell>
          <cell r="C64">
            <v>2.5</v>
          </cell>
          <cell r="D64">
            <v>6</v>
          </cell>
        </row>
        <row r="65">
          <cell r="B65" t="str">
            <v>Soap B</v>
          </cell>
          <cell r="C65">
            <v>2.5</v>
          </cell>
          <cell r="D65">
            <v>9</v>
          </cell>
        </row>
        <row r="66">
          <cell r="B66" t="str">
            <v>Soap B</v>
          </cell>
          <cell r="C66">
            <v>2.5</v>
          </cell>
          <cell r="D66">
            <v>6</v>
          </cell>
        </row>
        <row r="67">
          <cell r="B67" t="str">
            <v>Soap B</v>
          </cell>
          <cell r="C67">
            <v>2.5</v>
          </cell>
          <cell r="D67">
            <v>9</v>
          </cell>
        </row>
        <row r="68">
          <cell r="B68" t="str">
            <v>Soap B</v>
          </cell>
          <cell r="C68">
            <v>2.5</v>
          </cell>
          <cell r="D68">
            <v>6</v>
          </cell>
        </row>
        <row r="69">
          <cell r="B69" t="str">
            <v>Soap B</v>
          </cell>
          <cell r="C69">
            <v>2.5</v>
          </cell>
          <cell r="D69">
            <v>6</v>
          </cell>
        </row>
        <row r="70">
          <cell r="B70" t="str">
            <v>Soap B</v>
          </cell>
          <cell r="C70">
            <v>2.5</v>
          </cell>
          <cell r="D70">
            <v>9</v>
          </cell>
        </row>
        <row r="71">
          <cell r="B71" t="str">
            <v>Soap B</v>
          </cell>
          <cell r="C71">
            <v>2.5</v>
          </cell>
          <cell r="D71">
            <v>7</v>
          </cell>
        </row>
        <row r="72">
          <cell r="B72" t="str">
            <v>Soap B</v>
          </cell>
          <cell r="C72">
            <v>2.5</v>
          </cell>
          <cell r="D72">
            <v>9</v>
          </cell>
        </row>
        <row r="73">
          <cell r="B73" t="str">
            <v>Soap B</v>
          </cell>
          <cell r="C73">
            <v>2.5</v>
          </cell>
          <cell r="D73">
            <v>7</v>
          </cell>
        </row>
        <row r="74">
          <cell r="B74" t="str">
            <v>Soap B</v>
          </cell>
          <cell r="C74">
            <v>2.5</v>
          </cell>
          <cell r="D74">
            <v>6</v>
          </cell>
        </row>
        <row r="75">
          <cell r="B75" t="str">
            <v>Soap B</v>
          </cell>
          <cell r="C75">
            <v>2.5</v>
          </cell>
          <cell r="D75">
            <v>9</v>
          </cell>
        </row>
        <row r="76">
          <cell r="B76" t="str">
            <v>Soap B</v>
          </cell>
          <cell r="C76">
            <v>2.5</v>
          </cell>
          <cell r="D76">
            <v>9</v>
          </cell>
        </row>
        <row r="77">
          <cell r="B77" t="str">
            <v>Soap B</v>
          </cell>
          <cell r="C77">
            <v>2.5</v>
          </cell>
          <cell r="D77">
            <v>7</v>
          </cell>
        </row>
        <row r="78">
          <cell r="B78" t="str">
            <v>Soap B</v>
          </cell>
          <cell r="C78">
            <v>2.5</v>
          </cell>
          <cell r="D78">
            <v>8</v>
          </cell>
        </row>
        <row r="79">
          <cell r="B79" t="str">
            <v>Soap B</v>
          </cell>
          <cell r="C79">
            <v>2.5</v>
          </cell>
          <cell r="D79">
            <v>9</v>
          </cell>
        </row>
        <row r="80">
          <cell r="B80" t="str">
            <v>Soap B</v>
          </cell>
          <cell r="C80">
            <v>3</v>
          </cell>
          <cell r="D80">
            <v>6</v>
          </cell>
        </row>
        <row r="81">
          <cell r="B81" t="str">
            <v>Soap B</v>
          </cell>
          <cell r="C81">
            <v>3</v>
          </cell>
          <cell r="D81">
            <v>4</v>
          </cell>
        </row>
        <row r="82">
          <cell r="B82" t="str">
            <v>Soap B</v>
          </cell>
          <cell r="C82">
            <v>3</v>
          </cell>
          <cell r="D82">
            <v>6</v>
          </cell>
        </row>
        <row r="83">
          <cell r="B83" t="str">
            <v>Soap B</v>
          </cell>
          <cell r="C83">
            <v>3</v>
          </cell>
          <cell r="D83">
            <v>4</v>
          </cell>
        </row>
        <row r="84">
          <cell r="B84" t="str">
            <v>Soap B</v>
          </cell>
          <cell r="C84">
            <v>3</v>
          </cell>
          <cell r="D84">
            <v>7</v>
          </cell>
        </row>
        <row r="85">
          <cell r="B85" t="str">
            <v>Soap B</v>
          </cell>
          <cell r="C85">
            <v>3</v>
          </cell>
          <cell r="D85">
            <v>4</v>
          </cell>
        </row>
        <row r="86">
          <cell r="B86" t="str">
            <v>Soap B</v>
          </cell>
          <cell r="C86">
            <v>3</v>
          </cell>
          <cell r="D86">
            <v>4</v>
          </cell>
        </row>
        <row r="87">
          <cell r="B87" t="str">
            <v>Soap B</v>
          </cell>
          <cell r="C87">
            <v>3</v>
          </cell>
          <cell r="D87">
            <v>6</v>
          </cell>
        </row>
        <row r="88">
          <cell r="B88" t="str">
            <v>Soap B</v>
          </cell>
          <cell r="C88">
            <v>3</v>
          </cell>
          <cell r="D88">
            <v>6</v>
          </cell>
        </row>
        <row r="89">
          <cell r="B89" t="str">
            <v>Soap B</v>
          </cell>
          <cell r="C89">
            <v>3</v>
          </cell>
          <cell r="D89">
            <v>6</v>
          </cell>
        </row>
        <row r="90">
          <cell r="B90" t="str">
            <v>Soap B</v>
          </cell>
          <cell r="C90">
            <v>3</v>
          </cell>
          <cell r="D90">
            <v>5</v>
          </cell>
        </row>
        <row r="91">
          <cell r="B91" t="str">
            <v>Soap B</v>
          </cell>
          <cell r="C91">
            <v>3</v>
          </cell>
          <cell r="D91">
            <v>5</v>
          </cell>
        </row>
        <row r="92">
          <cell r="B92" t="str">
            <v>Soap B</v>
          </cell>
          <cell r="C92">
            <v>3</v>
          </cell>
          <cell r="D92">
            <v>6</v>
          </cell>
        </row>
        <row r="93">
          <cell r="B93" t="str">
            <v>Soap B</v>
          </cell>
          <cell r="C93">
            <v>3</v>
          </cell>
          <cell r="D93">
            <v>7</v>
          </cell>
        </row>
        <row r="94">
          <cell r="B94" t="str">
            <v>Soap B</v>
          </cell>
          <cell r="C94">
            <v>3</v>
          </cell>
          <cell r="D94">
            <v>7</v>
          </cell>
        </row>
        <row r="95">
          <cell r="B95" t="str">
            <v>Soap B</v>
          </cell>
          <cell r="C95">
            <v>3</v>
          </cell>
          <cell r="D95">
            <v>5</v>
          </cell>
        </row>
        <row r="96">
          <cell r="B96" t="str">
            <v>Soap B</v>
          </cell>
          <cell r="C96">
            <v>3</v>
          </cell>
          <cell r="D96">
            <v>6</v>
          </cell>
        </row>
        <row r="97">
          <cell r="B97" t="str">
            <v>Soap B</v>
          </cell>
          <cell r="C97">
            <v>3</v>
          </cell>
          <cell r="D97">
            <v>7</v>
          </cell>
        </row>
        <row r="98">
          <cell r="B98" t="str">
            <v>Soap B</v>
          </cell>
          <cell r="C98">
            <v>3</v>
          </cell>
          <cell r="D98">
            <v>7</v>
          </cell>
        </row>
        <row r="99">
          <cell r="B99" t="str">
            <v>Soap B</v>
          </cell>
          <cell r="C99">
            <v>3</v>
          </cell>
          <cell r="D99">
            <v>7</v>
          </cell>
        </row>
        <row r="100">
          <cell r="B100" t="str">
            <v>Soap B</v>
          </cell>
          <cell r="C100">
            <v>3.5</v>
          </cell>
          <cell r="D100">
            <v>1</v>
          </cell>
        </row>
        <row r="101">
          <cell r="B101" t="str">
            <v>Soap B</v>
          </cell>
          <cell r="C101">
            <v>3.5</v>
          </cell>
          <cell r="D101">
            <v>1</v>
          </cell>
        </row>
        <row r="102">
          <cell r="B102" t="str">
            <v>Soap B</v>
          </cell>
          <cell r="C102">
            <v>3.5</v>
          </cell>
          <cell r="D102">
            <v>2</v>
          </cell>
        </row>
        <row r="103">
          <cell r="B103" t="str">
            <v>Soap B</v>
          </cell>
          <cell r="C103">
            <v>3.5</v>
          </cell>
          <cell r="D103">
            <v>1</v>
          </cell>
        </row>
        <row r="104">
          <cell r="B104" t="str">
            <v>Soap B</v>
          </cell>
          <cell r="C104">
            <v>3.5</v>
          </cell>
          <cell r="D104">
            <v>2</v>
          </cell>
        </row>
        <row r="105">
          <cell r="B105" t="str">
            <v>Soap B</v>
          </cell>
          <cell r="C105">
            <v>3.5</v>
          </cell>
          <cell r="D105">
            <v>1</v>
          </cell>
        </row>
        <row r="106">
          <cell r="B106" t="str">
            <v>Soap B</v>
          </cell>
          <cell r="C106">
            <v>3.5</v>
          </cell>
          <cell r="D106">
            <v>2</v>
          </cell>
        </row>
        <row r="107">
          <cell r="B107" t="str">
            <v>Soap B</v>
          </cell>
          <cell r="C107">
            <v>3.5</v>
          </cell>
          <cell r="D107">
            <v>1</v>
          </cell>
        </row>
        <row r="108">
          <cell r="B108" t="str">
            <v>Soap B</v>
          </cell>
          <cell r="C108">
            <v>3.5</v>
          </cell>
          <cell r="D108">
            <v>2</v>
          </cell>
        </row>
        <row r="109">
          <cell r="B109" t="str">
            <v>Soap B</v>
          </cell>
          <cell r="C109">
            <v>3.5</v>
          </cell>
          <cell r="D109">
            <v>1</v>
          </cell>
        </row>
        <row r="110">
          <cell r="B110" t="str">
            <v>Soap B</v>
          </cell>
          <cell r="C110">
            <v>3.5</v>
          </cell>
          <cell r="D110">
            <v>1</v>
          </cell>
        </row>
        <row r="111">
          <cell r="B111" t="str">
            <v>Soap B</v>
          </cell>
          <cell r="C111">
            <v>3.5</v>
          </cell>
          <cell r="D111">
            <v>2</v>
          </cell>
        </row>
        <row r="112">
          <cell r="B112" t="str">
            <v>Soap B</v>
          </cell>
          <cell r="C112">
            <v>3.5</v>
          </cell>
          <cell r="D112">
            <v>1</v>
          </cell>
        </row>
        <row r="113">
          <cell r="B113" t="str">
            <v>Soap B</v>
          </cell>
          <cell r="C113">
            <v>3.5</v>
          </cell>
          <cell r="D113">
            <v>2</v>
          </cell>
        </row>
        <row r="114">
          <cell r="B114" t="str">
            <v>Soap B</v>
          </cell>
          <cell r="C114">
            <v>3.5</v>
          </cell>
          <cell r="D114">
            <v>1</v>
          </cell>
        </row>
        <row r="115">
          <cell r="B115" t="str">
            <v>Soap B</v>
          </cell>
          <cell r="C115">
            <v>3.5</v>
          </cell>
          <cell r="D115">
            <v>1</v>
          </cell>
        </row>
        <row r="116">
          <cell r="B116" t="str">
            <v>Soap B</v>
          </cell>
          <cell r="C116">
            <v>3.5</v>
          </cell>
          <cell r="D116">
            <v>1</v>
          </cell>
        </row>
        <row r="117">
          <cell r="B117" t="str">
            <v>Soap B</v>
          </cell>
          <cell r="C117">
            <v>3.5</v>
          </cell>
          <cell r="D117">
            <v>2</v>
          </cell>
        </row>
        <row r="118">
          <cell r="B118" t="str">
            <v>Soap B</v>
          </cell>
          <cell r="C118">
            <v>3.5</v>
          </cell>
          <cell r="D118">
            <v>1</v>
          </cell>
        </row>
        <row r="119">
          <cell r="B119" t="str">
            <v>Soap B</v>
          </cell>
          <cell r="C119">
            <v>3.5</v>
          </cell>
          <cell r="D119">
            <v>2</v>
          </cell>
        </row>
      </sheetData>
      <sheetData sheetId="2"/>
      <sheetData sheetId="3"/>
      <sheetData sheetId="4"/>
      <sheetData sheetId="5">
        <row r="15">
          <cell r="A15">
            <v>1</v>
          </cell>
          <cell r="B15" t="str">
            <v>Soap A</v>
          </cell>
          <cell r="C15">
            <v>2</v>
          </cell>
          <cell r="D15">
            <v>9</v>
          </cell>
          <cell r="E15">
            <v>1</v>
          </cell>
          <cell r="F15">
            <v>5</v>
          </cell>
          <cell r="G15">
            <v>5</v>
          </cell>
          <cell r="H15">
            <v>2</v>
          </cell>
          <cell r="I15">
            <v>0.49614331465336126</v>
          </cell>
          <cell r="J15">
            <v>0.59271310737004301</v>
          </cell>
          <cell r="K15">
            <v>-1.0614362781511688</v>
          </cell>
          <cell r="P15">
            <v>1</v>
          </cell>
          <cell r="Q15">
            <v>9</v>
          </cell>
        </row>
        <row r="16">
          <cell r="A16">
            <v>2</v>
          </cell>
          <cell r="B16" t="str">
            <v>Soap A</v>
          </cell>
          <cell r="C16">
            <v>2</v>
          </cell>
          <cell r="D16">
            <v>10</v>
          </cell>
          <cell r="E16">
            <v>1</v>
          </cell>
          <cell r="F16">
            <v>7</v>
          </cell>
          <cell r="G16">
            <v>5</v>
          </cell>
          <cell r="H16">
            <v>1</v>
          </cell>
          <cell r="I16">
            <v>1.5510065782406881</v>
          </cell>
          <cell r="J16">
            <v>0.59271310737004301</v>
          </cell>
          <cell r="K16">
            <v>-1.6131961055601465</v>
          </cell>
          <cell r="P16">
            <v>1</v>
          </cell>
          <cell r="Q16">
            <v>10</v>
          </cell>
        </row>
        <row r="17">
          <cell r="A17">
            <v>3</v>
          </cell>
          <cell r="B17" t="str">
            <v>Soap A</v>
          </cell>
          <cell r="C17">
            <v>2.2999999999999998</v>
          </cell>
          <cell r="D17">
            <v>4</v>
          </cell>
          <cell r="E17">
            <v>1</v>
          </cell>
          <cell r="F17">
            <v>3</v>
          </cell>
          <cell r="G17">
            <v>5</v>
          </cell>
          <cell r="H17">
            <v>4</v>
          </cell>
          <cell r="I17">
            <v>-0.5587199489339657</v>
          </cell>
          <cell r="J17">
            <v>0.59271310737004301</v>
          </cell>
          <cell r="K17">
            <v>4.2083376666786312E-2</v>
          </cell>
          <cell r="P17">
            <v>2</v>
          </cell>
          <cell r="Q17">
            <v>5.1999999999999993</v>
          </cell>
        </row>
        <row r="18">
          <cell r="A18">
            <v>4</v>
          </cell>
          <cell r="B18" t="str">
            <v>Soap A</v>
          </cell>
          <cell r="C18">
            <v>2</v>
          </cell>
          <cell r="D18">
            <v>3</v>
          </cell>
          <cell r="E18">
            <v>1</v>
          </cell>
          <cell r="F18">
            <v>4</v>
          </cell>
          <cell r="G18">
            <v>5</v>
          </cell>
          <cell r="H18">
            <v>4</v>
          </cell>
          <cell r="I18">
            <v>-3.1288317140302224E-2</v>
          </cell>
          <cell r="J18">
            <v>0.59271310737004301</v>
          </cell>
          <cell r="K18">
            <v>4.2083376666786312E-2</v>
          </cell>
          <cell r="P18">
            <v>2</v>
          </cell>
          <cell r="Q18">
            <v>3</v>
          </cell>
        </row>
        <row r="19">
          <cell r="A19">
            <v>5</v>
          </cell>
          <cell r="B19" t="str">
            <v>Soap A</v>
          </cell>
          <cell r="C19">
            <v>2.2999999999999998</v>
          </cell>
          <cell r="D19">
            <v>7</v>
          </cell>
          <cell r="E19">
            <v>1</v>
          </cell>
          <cell r="F19">
            <v>6</v>
          </cell>
          <cell r="G19">
            <v>5</v>
          </cell>
          <cell r="H19">
            <v>2</v>
          </cell>
          <cell r="I19">
            <v>1.0235749464470247</v>
          </cell>
          <cell r="J19">
            <v>0.59271310737004301</v>
          </cell>
          <cell r="K19">
            <v>-1.0614362781511688</v>
          </cell>
          <cell r="P19">
            <v>1</v>
          </cell>
          <cell r="Q19">
            <v>9.0999999999999979</v>
          </cell>
        </row>
        <row r="20">
          <cell r="A20">
            <v>6</v>
          </cell>
          <cell r="B20" t="str">
            <v>Soap A</v>
          </cell>
          <cell r="C20">
            <v>2.2999999999999998</v>
          </cell>
          <cell r="D20">
            <v>3</v>
          </cell>
          <cell r="E20">
            <v>1</v>
          </cell>
          <cell r="F20">
            <v>5</v>
          </cell>
          <cell r="G20">
            <v>6</v>
          </cell>
          <cell r="H20">
            <v>5</v>
          </cell>
          <cell r="I20">
            <v>0.49614331465336126</v>
          </cell>
          <cell r="J20">
            <v>1.1185788718036149</v>
          </cell>
          <cell r="K20">
            <v>0.59384320407576385</v>
          </cell>
          <cell r="P20">
            <v>2</v>
          </cell>
          <cell r="Q20">
            <v>3.8999999999999995</v>
          </cell>
        </row>
        <row r="21">
          <cell r="A21">
            <v>7</v>
          </cell>
          <cell r="B21" t="str">
            <v>Soap A</v>
          </cell>
          <cell r="C21">
            <v>2</v>
          </cell>
          <cell r="D21">
            <v>0</v>
          </cell>
          <cell r="E21">
            <v>1</v>
          </cell>
          <cell r="F21">
            <v>3</v>
          </cell>
          <cell r="G21">
            <v>1</v>
          </cell>
          <cell r="H21">
            <v>7</v>
          </cell>
          <cell r="I21">
            <v>-0.5587199489339657</v>
          </cell>
          <cell r="J21">
            <v>-1.5107499503642448</v>
          </cell>
          <cell r="K21">
            <v>1.6973628588937191</v>
          </cell>
          <cell r="P21">
            <v>3</v>
          </cell>
          <cell r="Q21">
            <v>0</v>
          </cell>
        </row>
        <row r="22">
          <cell r="A22">
            <v>8</v>
          </cell>
          <cell r="B22" t="str">
            <v>Soap B</v>
          </cell>
          <cell r="C22">
            <v>2.5</v>
          </cell>
          <cell r="D22">
            <v>8</v>
          </cell>
          <cell r="E22">
            <v>1.5</v>
          </cell>
          <cell r="F22">
            <v>6</v>
          </cell>
          <cell r="G22">
            <v>3</v>
          </cell>
          <cell r="H22">
            <v>2</v>
          </cell>
          <cell r="I22">
            <v>1.0235749464470247</v>
          </cell>
          <cell r="J22">
            <v>-0.45901842149710087</v>
          </cell>
          <cell r="K22">
            <v>-1.0614362781511688</v>
          </cell>
          <cell r="P22">
            <v>1</v>
          </cell>
          <cell r="Q22">
            <v>8</v>
          </cell>
        </row>
        <row r="23">
          <cell r="A23">
            <v>9</v>
          </cell>
          <cell r="B23" t="str">
            <v>Soap A</v>
          </cell>
          <cell r="C23">
            <v>2.2999999999999998</v>
          </cell>
          <cell r="D23">
            <v>7</v>
          </cell>
          <cell r="E23">
            <v>1</v>
          </cell>
          <cell r="F23">
            <v>7</v>
          </cell>
          <cell r="G23">
            <v>5</v>
          </cell>
          <cell r="H23">
            <v>3</v>
          </cell>
          <cell r="I23">
            <v>1.5510065782406881</v>
          </cell>
          <cell r="J23">
            <v>0.59271310737004301</v>
          </cell>
          <cell r="K23">
            <v>-0.50967645074219126</v>
          </cell>
          <cell r="P23">
            <v>1</v>
          </cell>
          <cell r="Q23">
            <v>9.0999999999999979</v>
          </cell>
        </row>
        <row r="24">
          <cell r="A24">
            <v>10</v>
          </cell>
          <cell r="B24" t="str">
            <v>Soap B</v>
          </cell>
          <cell r="C24">
            <v>2.5</v>
          </cell>
          <cell r="D24">
            <v>9</v>
          </cell>
          <cell r="E24">
            <v>1.5</v>
          </cell>
          <cell r="F24">
            <v>5</v>
          </cell>
          <cell r="G24">
            <v>3</v>
          </cell>
          <cell r="H24">
            <v>2</v>
          </cell>
          <cell r="I24">
            <v>0.49614331465336126</v>
          </cell>
          <cell r="J24">
            <v>-0.45901842149710087</v>
          </cell>
          <cell r="K24">
            <v>-1.0614362781511688</v>
          </cell>
          <cell r="P24">
            <v>1</v>
          </cell>
          <cell r="Q24">
            <v>9</v>
          </cell>
        </row>
        <row r="25">
          <cell r="A25">
            <v>11</v>
          </cell>
          <cell r="B25" t="str">
            <v>Soap B</v>
          </cell>
          <cell r="C25">
            <v>3</v>
          </cell>
          <cell r="D25">
            <v>6</v>
          </cell>
          <cell r="E25">
            <v>1.5</v>
          </cell>
          <cell r="F25">
            <v>5</v>
          </cell>
          <cell r="G25">
            <v>6</v>
          </cell>
          <cell r="H25">
            <v>4</v>
          </cell>
          <cell r="I25">
            <v>0.49614331465336126</v>
          </cell>
          <cell r="J25">
            <v>1.1185788718036149</v>
          </cell>
          <cell r="K25">
            <v>4.2083376666786312E-2</v>
          </cell>
          <cell r="P25">
            <v>2</v>
          </cell>
          <cell r="Q25">
            <v>9</v>
          </cell>
        </row>
        <row r="26">
          <cell r="A26">
            <v>12</v>
          </cell>
          <cell r="B26" t="str">
            <v>Soap B</v>
          </cell>
          <cell r="C26">
            <v>2.5</v>
          </cell>
          <cell r="D26">
            <v>6</v>
          </cell>
          <cell r="E26">
            <v>1.5</v>
          </cell>
          <cell r="F26">
            <v>3</v>
          </cell>
          <cell r="G26">
            <v>7</v>
          </cell>
          <cell r="H26">
            <v>5</v>
          </cell>
          <cell r="I26">
            <v>-0.5587199489339657</v>
          </cell>
          <cell r="J26">
            <v>1.644444636237187</v>
          </cell>
          <cell r="K26">
            <v>0.59384320407576385</v>
          </cell>
          <cell r="P26">
            <v>2</v>
          </cell>
          <cell r="Q26">
            <v>6</v>
          </cell>
        </row>
        <row r="27">
          <cell r="A27">
            <v>13</v>
          </cell>
          <cell r="B27" t="str">
            <v>Soap A</v>
          </cell>
          <cell r="C27">
            <v>2.2999999999999998</v>
          </cell>
          <cell r="D27">
            <v>1</v>
          </cell>
          <cell r="E27">
            <v>1</v>
          </cell>
          <cell r="F27">
            <v>2</v>
          </cell>
          <cell r="G27">
            <v>3</v>
          </cell>
          <cell r="H27">
            <v>7</v>
          </cell>
          <cell r="I27">
            <v>-1.0861515807276292</v>
          </cell>
          <cell r="J27">
            <v>-0.45901842149710087</v>
          </cell>
          <cell r="K27">
            <v>1.6973628588937191</v>
          </cell>
          <cell r="P27">
            <v>3</v>
          </cell>
          <cell r="Q27">
            <v>1.2999999999999998</v>
          </cell>
        </row>
        <row r="28">
          <cell r="A28">
            <v>14</v>
          </cell>
          <cell r="B28" t="str">
            <v>Soap B</v>
          </cell>
          <cell r="C28">
            <v>3</v>
          </cell>
          <cell r="D28">
            <v>4</v>
          </cell>
          <cell r="E28">
            <v>1.5</v>
          </cell>
          <cell r="F28">
            <v>3</v>
          </cell>
          <cell r="G28">
            <v>7</v>
          </cell>
          <cell r="H28">
            <v>5</v>
          </cell>
          <cell r="I28">
            <v>-0.5587199489339657</v>
          </cell>
          <cell r="J28">
            <v>1.644444636237187</v>
          </cell>
          <cell r="K28">
            <v>0.59384320407576385</v>
          </cell>
          <cell r="P28">
            <v>2</v>
          </cell>
          <cell r="Q28">
            <v>6</v>
          </cell>
        </row>
        <row r="29">
          <cell r="A29">
            <v>15</v>
          </cell>
          <cell r="B29" t="str">
            <v>Soap B</v>
          </cell>
          <cell r="C29">
            <v>2.5</v>
          </cell>
          <cell r="D29">
            <v>6</v>
          </cell>
          <cell r="E29">
            <v>1.5</v>
          </cell>
          <cell r="F29">
            <v>5</v>
          </cell>
          <cell r="G29">
            <v>6</v>
          </cell>
          <cell r="H29">
            <v>5</v>
          </cell>
          <cell r="I29">
            <v>0.49614331465336126</v>
          </cell>
          <cell r="J29">
            <v>1.1185788718036149</v>
          </cell>
          <cell r="K29">
            <v>0.59384320407576385</v>
          </cell>
          <cell r="P29">
            <v>2</v>
          </cell>
          <cell r="Q29">
            <v>6</v>
          </cell>
        </row>
        <row r="30">
          <cell r="A30">
            <v>16</v>
          </cell>
          <cell r="B30" t="str">
            <v>Soap A</v>
          </cell>
          <cell r="C30">
            <v>2</v>
          </cell>
          <cell r="D30">
            <v>10</v>
          </cell>
          <cell r="E30">
            <v>1</v>
          </cell>
          <cell r="F30">
            <v>5</v>
          </cell>
          <cell r="G30">
            <v>5</v>
          </cell>
          <cell r="H30">
            <v>1</v>
          </cell>
          <cell r="I30">
            <v>0.49614331465336126</v>
          </cell>
          <cell r="J30">
            <v>0.59271310737004301</v>
          </cell>
          <cell r="K30">
            <v>-1.6131961055601465</v>
          </cell>
          <cell r="P30">
            <v>1</v>
          </cell>
          <cell r="Q30">
            <v>10</v>
          </cell>
        </row>
        <row r="31">
          <cell r="A31">
            <v>17</v>
          </cell>
          <cell r="B31" t="str">
            <v>Soap A</v>
          </cell>
          <cell r="C31">
            <v>2.2999999999999998</v>
          </cell>
          <cell r="D31">
            <v>4</v>
          </cell>
          <cell r="E31">
            <v>1</v>
          </cell>
          <cell r="F31">
            <v>4</v>
          </cell>
          <cell r="G31">
            <v>7</v>
          </cell>
          <cell r="H31">
            <v>5</v>
          </cell>
          <cell r="I31">
            <v>-3.1288317140302224E-2</v>
          </cell>
          <cell r="J31">
            <v>1.644444636237187</v>
          </cell>
          <cell r="K31">
            <v>0.59384320407576385</v>
          </cell>
          <cell r="P31">
            <v>2</v>
          </cell>
          <cell r="Q31">
            <v>5.1999999999999993</v>
          </cell>
        </row>
        <row r="32">
          <cell r="A32">
            <v>18</v>
          </cell>
          <cell r="B32" t="str">
            <v>Soap A</v>
          </cell>
          <cell r="C32">
            <v>2.2999999999999998</v>
          </cell>
          <cell r="D32">
            <v>6</v>
          </cell>
          <cell r="E32">
            <v>1</v>
          </cell>
          <cell r="F32">
            <v>4</v>
          </cell>
          <cell r="G32">
            <v>6</v>
          </cell>
          <cell r="H32">
            <v>5</v>
          </cell>
          <cell r="I32">
            <v>-3.1288317140302224E-2</v>
          </cell>
          <cell r="J32">
            <v>1.1185788718036149</v>
          </cell>
          <cell r="K32">
            <v>0.59384320407576385</v>
          </cell>
          <cell r="P32">
            <v>2</v>
          </cell>
          <cell r="Q32">
            <v>7.7999999999999989</v>
          </cell>
        </row>
        <row r="33">
          <cell r="A33">
            <v>19</v>
          </cell>
          <cell r="B33" t="str">
            <v>Soap A</v>
          </cell>
          <cell r="C33">
            <v>2.2999999999999998</v>
          </cell>
          <cell r="D33">
            <v>6</v>
          </cell>
          <cell r="E33">
            <v>1</v>
          </cell>
          <cell r="F33">
            <v>3</v>
          </cell>
          <cell r="G33">
            <v>5</v>
          </cell>
          <cell r="H33">
            <v>3</v>
          </cell>
          <cell r="I33">
            <v>-0.5587199489339657</v>
          </cell>
          <cell r="J33">
            <v>0.59271310737004301</v>
          </cell>
          <cell r="K33">
            <v>-0.50967645074219126</v>
          </cell>
          <cell r="P33">
            <v>2</v>
          </cell>
          <cell r="Q33">
            <v>7.7999999999999989</v>
          </cell>
        </row>
        <row r="34">
          <cell r="A34">
            <v>20</v>
          </cell>
          <cell r="B34" t="str">
            <v>Soap B</v>
          </cell>
          <cell r="C34">
            <v>3.5</v>
          </cell>
          <cell r="D34">
            <v>1</v>
          </cell>
          <cell r="E34">
            <v>1.5</v>
          </cell>
          <cell r="F34">
            <v>1</v>
          </cell>
          <cell r="G34">
            <v>1</v>
          </cell>
          <cell r="H34">
            <v>7</v>
          </cell>
          <cell r="I34">
            <v>-1.6135832125212926</v>
          </cell>
          <cell r="J34">
            <v>-1.5107499503642448</v>
          </cell>
          <cell r="K34">
            <v>1.6973628588937191</v>
          </cell>
          <cell r="P34">
            <v>3</v>
          </cell>
          <cell r="Q34">
            <v>2</v>
          </cell>
        </row>
        <row r="35">
          <cell r="A35">
            <v>21</v>
          </cell>
          <cell r="B35" t="str">
            <v>Soap A</v>
          </cell>
          <cell r="C35">
            <v>2.2999999999999998</v>
          </cell>
          <cell r="D35">
            <v>0</v>
          </cell>
          <cell r="E35">
            <v>1</v>
          </cell>
          <cell r="F35">
            <v>3</v>
          </cell>
          <cell r="G35">
            <v>1</v>
          </cell>
          <cell r="H35">
            <v>5</v>
          </cell>
          <cell r="I35">
            <v>-0.5587199489339657</v>
          </cell>
          <cell r="J35">
            <v>-1.5107499503642448</v>
          </cell>
          <cell r="K35">
            <v>0.59384320407576385</v>
          </cell>
          <cell r="P35">
            <v>3</v>
          </cell>
          <cell r="Q35">
            <v>0</v>
          </cell>
        </row>
        <row r="36">
          <cell r="A36">
            <v>22</v>
          </cell>
          <cell r="B36" t="str">
            <v>Soap B</v>
          </cell>
          <cell r="C36">
            <v>3</v>
          </cell>
          <cell r="D36">
            <v>6</v>
          </cell>
          <cell r="E36">
            <v>1.5</v>
          </cell>
          <cell r="F36">
            <v>4</v>
          </cell>
          <cell r="G36">
            <v>7</v>
          </cell>
          <cell r="H36">
            <v>3</v>
          </cell>
          <cell r="I36">
            <v>-3.1288317140302224E-2</v>
          </cell>
          <cell r="J36">
            <v>1.644444636237187</v>
          </cell>
          <cell r="K36">
            <v>-0.50967645074219126</v>
          </cell>
          <cell r="P36">
            <v>2</v>
          </cell>
          <cell r="Q36">
            <v>9</v>
          </cell>
        </row>
        <row r="37">
          <cell r="A37">
            <v>23</v>
          </cell>
          <cell r="B37" t="str">
            <v>Soap B</v>
          </cell>
          <cell r="C37">
            <v>3</v>
          </cell>
          <cell r="D37">
            <v>4</v>
          </cell>
          <cell r="E37">
            <v>1.5</v>
          </cell>
          <cell r="F37">
            <v>5</v>
          </cell>
          <cell r="G37">
            <v>5</v>
          </cell>
          <cell r="H37">
            <v>4</v>
          </cell>
          <cell r="I37">
            <v>0.49614331465336126</v>
          </cell>
          <cell r="J37">
            <v>0.59271310737004301</v>
          </cell>
          <cell r="K37">
            <v>4.2083376666786312E-2</v>
          </cell>
          <cell r="P37">
            <v>2</v>
          </cell>
          <cell r="Q37">
            <v>6</v>
          </cell>
        </row>
        <row r="38">
          <cell r="A38">
            <v>24</v>
          </cell>
          <cell r="B38" t="str">
            <v>Soap A</v>
          </cell>
          <cell r="C38">
            <v>2.2999999999999998</v>
          </cell>
          <cell r="D38">
            <v>6</v>
          </cell>
          <cell r="E38">
            <v>1</v>
          </cell>
          <cell r="F38">
            <v>6</v>
          </cell>
          <cell r="G38">
            <v>3</v>
          </cell>
          <cell r="H38">
            <v>3</v>
          </cell>
          <cell r="I38">
            <v>1.0235749464470247</v>
          </cell>
          <cell r="J38">
            <v>-0.45901842149710087</v>
          </cell>
          <cell r="K38">
            <v>-0.50967645074219126</v>
          </cell>
          <cell r="P38">
            <v>1</v>
          </cell>
          <cell r="Q38">
            <v>7.7999999999999989</v>
          </cell>
        </row>
        <row r="39">
          <cell r="A39">
            <v>25</v>
          </cell>
          <cell r="B39" t="str">
            <v>Soap A</v>
          </cell>
          <cell r="C39">
            <v>2</v>
          </cell>
          <cell r="D39">
            <v>2</v>
          </cell>
          <cell r="E39">
            <v>1</v>
          </cell>
          <cell r="F39">
            <v>3</v>
          </cell>
          <cell r="G39">
            <v>2</v>
          </cell>
          <cell r="H39">
            <v>5</v>
          </cell>
          <cell r="I39">
            <v>-0.5587199489339657</v>
          </cell>
          <cell r="J39">
            <v>-0.98488418593067284</v>
          </cell>
          <cell r="K39">
            <v>0.59384320407576385</v>
          </cell>
          <cell r="P39">
            <v>3</v>
          </cell>
          <cell r="Q39">
            <v>2</v>
          </cell>
        </row>
        <row r="40">
          <cell r="A40">
            <v>26</v>
          </cell>
          <cell r="B40" t="str">
            <v>Soap A</v>
          </cell>
          <cell r="C40">
            <v>2</v>
          </cell>
          <cell r="D40">
            <v>2</v>
          </cell>
          <cell r="E40">
            <v>1</v>
          </cell>
          <cell r="F40">
            <v>3</v>
          </cell>
          <cell r="G40">
            <v>2</v>
          </cell>
          <cell r="H40">
            <v>5</v>
          </cell>
          <cell r="I40">
            <v>-0.5587199489339657</v>
          </cell>
          <cell r="J40">
            <v>-0.98488418593067284</v>
          </cell>
          <cell r="K40">
            <v>0.59384320407576385</v>
          </cell>
          <cell r="P40">
            <v>3</v>
          </cell>
          <cell r="Q40">
            <v>2</v>
          </cell>
        </row>
        <row r="41">
          <cell r="A41">
            <v>27</v>
          </cell>
          <cell r="B41" t="str">
            <v>Soap B</v>
          </cell>
          <cell r="C41">
            <v>3.5</v>
          </cell>
          <cell r="D41">
            <v>1</v>
          </cell>
          <cell r="E41">
            <v>1.5</v>
          </cell>
          <cell r="F41">
            <v>2</v>
          </cell>
          <cell r="G41">
            <v>2</v>
          </cell>
          <cell r="H41">
            <v>7</v>
          </cell>
          <cell r="I41">
            <v>-1.0861515807276292</v>
          </cell>
          <cell r="J41">
            <v>-0.98488418593067284</v>
          </cell>
          <cell r="K41">
            <v>1.6973628588937191</v>
          </cell>
          <cell r="P41">
            <v>3</v>
          </cell>
          <cell r="Q41">
            <v>2</v>
          </cell>
        </row>
        <row r="42">
          <cell r="A42">
            <v>28</v>
          </cell>
          <cell r="B42" t="str">
            <v>Soap A</v>
          </cell>
          <cell r="C42">
            <v>2</v>
          </cell>
          <cell r="D42">
            <v>2</v>
          </cell>
          <cell r="E42">
            <v>1</v>
          </cell>
          <cell r="F42">
            <v>5</v>
          </cell>
          <cell r="G42">
            <v>5</v>
          </cell>
          <cell r="H42">
            <v>3</v>
          </cell>
          <cell r="I42">
            <v>0.49614331465336126</v>
          </cell>
          <cell r="J42">
            <v>0.59271310737004301</v>
          </cell>
          <cell r="K42">
            <v>-0.50967645074219126</v>
          </cell>
          <cell r="P42">
            <v>1</v>
          </cell>
          <cell r="Q42">
            <v>2</v>
          </cell>
        </row>
        <row r="43">
          <cell r="A43">
            <v>29</v>
          </cell>
          <cell r="B43" t="str">
            <v>Soap A</v>
          </cell>
          <cell r="C43">
            <v>2.2999999999999998</v>
          </cell>
          <cell r="D43">
            <v>1</v>
          </cell>
          <cell r="E43">
            <v>1</v>
          </cell>
          <cell r="F43">
            <v>3</v>
          </cell>
          <cell r="G43">
            <v>2</v>
          </cell>
          <cell r="H43">
            <v>7</v>
          </cell>
          <cell r="I43">
            <v>-0.5587199489339657</v>
          </cell>
          <cell r="J43">
            <v>-0.98488418593067284</v>
          </cell>
          <cell r="K43">
            <v>1.6973628588937191</v>
          </cell>
          <cell r="P43">
            <v>3</v>
          </cell>
          <cell r="Q43">
            <v>1.2999999999999998</v>
          </cell>
        </row>
        <row r="44">
          <cell r="A44">
            <v>30</v>
          </cell>
          <cell r="B44" t="str">
            <v>Soap A</v>
          </cell>
          <cell r="C44">
            <v>2</v>
          </cell>
          <cell r="D44">
            <v>2</v>
          </cell>
          <cell r="E44">
            <v>1</v>
          </cell>
          <cell r="F44">
            <v>2</v>
          </cell>
          <cell r="G44">
            <v>1</v>
          </cell>
          <cell r="H44">
            <v>5</v>
          </cell>
          <cell r="I44">
            <v>-1.0861515807276292</v>
          </cell>
          <cell r="J44">
            <v>-1.5107499503642448</v>
          </cell>
          <cell r="K44">
            <v>0.59384320407576385</v>
          </cell>
          <cell r="P44">
            <v>3</v>
          </cell>
          <cell r="Q44">
            <v>2</v>
          </cell>
        </row>
        <row r="45">
          <cell r="A45">
            <v>31</v>
          </cell>
          <cell r="B45" t="str">
            <v>Soap A</v>
          </cell>
          <cell r="C45">
            <v>2</v>
          </cell>
          <cell r="D45">
            <v>4</v>
          </cell>
          <cell r="E45">
            <v>1</v>
          </cell>
          <cell r="F45">
            <v>5</v>
          </cell>
          <cell r="G45">
            <v>5</v>
          </cell>
          <cell r="H45">
            <v>4</v>
          </cell>
          <cell r="I45">
            <v>0.49614331465336126</v>
          </cell>
          <cell r="J45">
            <v>0.59271310737004301</v>
          </cell>
          <cell r="K45">
            <v>4.2083376666786312E-2</v>
          </cell>
          <cell r="P45">
            <v>2</v>
          </cell>
          <cell r="Q45">
            <v>4</v>
          </cell>
        </row>
        <row r="46">
          <cell r="A46">
            <v>32</v>
          </cell>
          <cell r="B46" t="str">
            <v>Soap B</v>
          </cell>
          <cell r="C46">
            <v>3</v>
          </cell>
          <cell r="D46">
            <v>7</v>
          </cell>
          <cell r="E46">
            <v>1.5</v>
          </cell>
          <cell r="F46">
            <v>6</v>
          </cell>
          <cell r="G46">
            <v>3</v>
          </cell>
          <cell r="H46">
            <v>2</v>
          </cell>
          <cell r="I46">
            <v>1.0235749464470247</v>
          </cell>
          <cell r="J46">
            <v>-0.45901842149710087</v>
          </cell>
          <cell r="K46">
            <v>-1.0614362781511688</v>
          </cell>
          <cell r="P46">
            <v>1</v>
          </cell>
          <cell r="Q46">
            <v>10.5</v>
          </cell>
        </row>
        <row r="47">
          <cell r="A47">
            <v>33</v>
          </cell>
          <cell r="B47" t="str">
            <v>Soap B</v>
          </cell>
          <cell r="C47">
            <v>3</v>
          </cell>
          <cell r="D47">
            <v>4</v>
          </cell>
          <cell r="E47">
            <v>1.5</v>
          </cell>
          <cell r="F47">
            <v>5</v>
          </cell>
          <cell r="G47">
            <v>7</v>
          </cell>
          <cell r="H47">
            <v>5</v>
          </cell>
          <cell r="I47">
            <v>0.49614331465336126</v>
          </cell>
          <cell r="J47">
            <v>1.644444636237187</v>
          </cell>
          <cell r="K47">
            <v>0.59384320407576385</v>
          </cell>
          <cell r="P47">
            <v>2</v>
          </cell>
          <cell r="Q47">
            <v>6</v>
          </cell>
        </row>
        <row r="48">
          <cell r="A48">
            <v>34</v>
          </cell>
          <cell r="B48" t="str">
            <v>Soap A</v>
          </cell>
          <cell r="C48">
            <v>2</v>
          </cell>
          <cell r="D48">
            <v>6</v>
          </cell>
          <cell r="E48">
            <v>1</v>
          </cell>
          <cell r="F48">
            <v>5</v>
          </cell>
          <cell r="G48">
            <v>4</v>
          </cell>
          <cell r="H48">
            <v>1</v>
          </cell>
          <cell r="I48">
            <v>0.49614331465336126</v>
          </cell>
          <cell r="J48">
            <v>6.6847342936471071E-2</v>
          </cell>
          <cell r="K48">
            <v>-1.6131961055601465</v>
          </cell>
          <cell r="P48">
            <v>1</v>
          </cell>
          <cell r="Q48">
            <v>6</v>
          </cell>
        </row>
        <row r="49">
          <cell r="A49">
            <v>35</v>
          </cell>
          <cell r="B49" t="str">
            <v>Soap B</v>
          </cell>
          <cell r="C49">
            <v>3.5</v>
          </cell>
          <cell r="D49">
            <v>2</v>
          </cell>
          <cell r="E49">
            <v>1.5</v>
          </cell>
          <cell r="F49">
            <v>2</v>
          </cell>
          <cell r="G49">
            <v>2</v>
          </cell>
          <cell r="H49">
            <v>7</v>
          </cell>
          <cell r="I49">
            <v>-1.0861515807276292</v>
          </cell>
          <cell r="J49">
            <v>-0.98488418593067284</v>
          </cell>
          <cell r="K49">
            <v>1.6973628588937191</v>
          </cell>
          <cell r="P49">
            <v>3</v>
          </cell>
          <cell r="Q49">
            <v>4</v>
          </cell>
        </row>
        <row r="50">
          <cell r="A50">
            <v>36</v>
          </cell>
          <cell r="B50" t="str">
            <v>Soap B</v>
          </cell>
          <cell r="C50">
            <v>3.5</v>
          </cell>
          <cell r="D50">
            <v>1</v>
          </cell>
          <cell r="E50">
            <v>1.5</v>
          </cell>
          <cell r="F50">
            <v>1</v>
          </cell>
          <cell r="G50">
            <v>1</v>
          </cell>
          <cell r="H50">
            <v>6</v>
          </cell>
          <cell r="I50">
            <v>-1.6135832125212926</v>
          </cell>
          <cell r="J50">
            <v>-1.5107499503642448</v>
          </cell>
          <cell r="K50">
            <v>1.1456030314847414</v>
          </cell>
          <cell r="P50">
            <v>3</v>
          </cell>
          <cell r="Q50">
            <v>2</v>
          </cell>
        </row>
        <row r="51">
          <cell r="A51">
            <v>37</v>
          </cell>
          <cell r="B51" t="str">
            <v>Soap B</v>
          </cell>
          <cell r="C51">
            <v>3.5</v>
          </cell>
          <cell r="D51">
            <v>2</v>
          </cell>
          <cell r="E51">
            <v>1.5</v>
          </cell>
          <cell r="F51">
            <v>3</v>
          </cell>
          <cell r="G51">
            <v>1</v>
          </cell>
          <cell r="H51">
            <v>5</v>
          </cell>
          <cell r="I51">
            <v>-0.5587199489339657</v>
          </cell>
          <cell r="J51">
            <v>-1.5107499503642448</v>
          </cell>
          <cell r="K51">
            <v>0.59384320407576385</v>
          </cell>
          <cell r="P51">
            <v>3</v>
          </cell>
          <cell r="Q51">
            <v>4</v>
          </cell>
        </row>
        <row r="52">
          <cell r="A52">
            <v>38</v>
          </cell>
          <cell r="B52" t="str">
            <v>Soap A</v>
          </cell>
          <cell r="C52">
            <v>2</v>
          </cell>
          <cell r="D52">
            <v>5</v>
          </cell>
          <cell r="E52">
            <v>1</v>
          </cell>
          <cell r="F52">
            <v>3</v>
          </cell>
          <cell r="G52">
            <v>6</v>
          </cell>
          <cell r="H52">
            <v>3</v>
          </cell>
          <cell r="I52">
            <v>-0.5587199489339657</v>
          </cell>
          <cell r="J52">
            <v>1.1185788718036149</v>
          </cell>
          <cell r="K52">
            <v>-0.50967645074219126</v>
          </cell>
          <cell r="P52">
            <v>2</v>
          </cell>
          <cell r="Q52">
            <v>5</v>
          </cell>
        </row>
        <row r="53">
          <cell r="A53">
            <v>39</v>
          </cell>
          <cell r="B53" t="str">
            <v>Soap A</v>
          </cell>
          <cell r="C53">
            <v>2</v>
          </cell>
          <cell r="D53">
            <v>2</v>
          </cell>
          <cell r="E53">
            <v>1</v>
          </cell>
          <cell r="F53">
            <v>5</v>
          </cell>
          <cell r="G53">
            <v>7</v>
          </cell>
          <cell r="H53">
            <v>5</v>
          </cell>
          <cell r="I53">
            <v>0.49614331465336126</v>
          </cell>
          <cell r="J53">
            <v>1.644444636237187</v>
          </cell>
          <cell r="K53">
            <v>0.59384320407576385</v>
          </cell>
          <cell r="P53">
            <v>2</v>
          </cell>
          <cell r="Q53">
            <v>2</v>
          </cell>
        </row>
        <row r="54">
          <cell r="A54">
            <v>40</v>
          </cell>
          <cell r="B54" t="str">
            <v>Soap A</v>
          </cell>
          <cell r="C54">
            <v>2.2999999999999998</v>
          </cell>
          <cell r="D54">
            <v>2</v>
          </cell>
          <cell r="E54">
            <v>1</v>
          </cell>
          <cell r="F54">
            <v>3</v>
          </cell>
          <cell r="G54">
            <v>2</v>
          </cell>
          <cell r="H54">
            <v>6</v>
          </cell>
          <cell r="I54">
            <v>-0.5587199489339657</v>
          </cell>
          <cell r="J54">
            <v>-0.98488418593067284</v>
          </cell>
          <cell r="K54">
            <v>1.1456030314847414</v>
          </cell>
          <cell r="P54">
            <v>3</v>
          </cell>
          <cell r="Q54">
            <v>2.5999999999999996</v>
          </cell>
        </row>
        <row r="55">
          <cell r="A55">
            <v>41</v>
          </cell>
          <cell r="B55" t="str">
            <v>Soap A</v>
          </cell>
          <cell r="C55">
            <v>2.2999999999999998</v>
          </cell>
          <cell r="D55">
            <v>7</v>
          </cell>
          <cell r="E55">
            <v>1</v>
          </cell>
          <cell r="F55">
            <v>5</v>
          </cell>
          <cell r="G55">
            <v>3</v>
          </cell>
          <cell r="H55">
            <v>3</v>
          </cell>
          <cell r="I55">
            <v>0.49614331465336126</v>
          </cell>
          <cell r="J55">
            <v>-0.45901842149710087</v>
          </cell>
          <cell r="K55">
            <v>-0.50967645074219126</v>
          </cell>
          <cell r="P55">
            <v>1</v>
          </cell>
          <cell r="Q55">
            <v>9.0999999999999979</v>
          </cell>
        </row>
        <row r="56">
          <cell r="A56">
            <v>42</v>
          </cell>
          <cell r="B56" t="str">
            <v>Soap A</v>
          </cell>
          <cell r="C56">
            <v>2</v>
          </cell>
          <cell r="D56">
            <v>5</v>
          </cell>
          <cell r="E56">
            <v>1</v>
          </cell>
          <cell r="F56">
            <v>3</v>
          </cell>
          <cell r="G56">
            <v>6</v>
          </cell>
          <cell r="H56">
            <v>3</v>
          </cell>
          <cell r="I56">
            <v>-0.5587199489339657</v>
          </cell>
          <cell r="J56">
            <v>1.1185788718036149</v>
          </cell>
          <cell r="K56">
            <v>-0.50967645074219126</v>
          </cell>
          <cell r="P56">
            <v>2</v>
          </cell>
          <cell r="Q56">
            <v>5</v>
          </cell>
        </row>
        <row r="57">
          <cell r="A57">
            <v>43</v>
          </cell>
          <cell r="B57" t="str">
            <v>Soap B</v>
          </cell>
          <cell r="C57">
            <v>3</v>
          </cell>
          <cell r="D57">
            <v>4</v>
          </cell>
          <cell r="E57">
            <v>1.5</v>
          </cell>
          <cell r="F57">
            <v>4</v>
          </cell>
          <cell r="G57">
            <v>6</v>
          </cell>
          <cell r="H57">
            <v>5</v>
          </cell>
          <cell r="I57">
            <v>-3.1288317140302224E-2</v>
          </cell>
          <cell r="J57">
            <v>1.1185788718036149</v>
          </cell>
          <cell r="K57">
            <v>0.59384320407576385</v>
          </cell>
          <cell r="P57">
            <v>2</v>
          </cell>
          <cell r="Q57">
            <v>6</v>
          </cell>
        </row>
        <row r="58">
          <cell r="A58">
            <v>44</v>
          </cell>
          <cell r="B58" t="str">
            <v>Soap A</v>
          </cell>
          <cell r="C58">
            <v>2</v>
          </cell>
          <cell r="D58">
            <v>9</v>
          </cell>
          <cell r="E58">
            <v>1</v>
          </cell>
          <cell r="F58">
            <v>7</v>
          </cell>
          <cell r="G58">
            <v>4</v>
          </cell>
          <cell r="H58">
            <v>2</v>
          </cell>
          <cell r="I58">
            <v>1.5510065782406881</v>
          </cell>
          <cell r="J58">
            <v>6.6847342936471071E-2</v>
          </cell>
          <cell r="K58">
            <v>-1.0614362781511688</v>
          </cell>
          <cell r="P58">
            <v>1</v>
          </cell>
          <cell r="Q58">
            <v>9</v>
          </cell>
        </row>
        <row r="59">
          <cell r="A59">
            <v>45</v>
          </cell>
          <cell r="B59" t="str">
            <v>Soap B</v>
          </cell>
          <cell r="C59">
            <v>3</v>
          </cell>
          <cell r="D59">
            <v>6</v>
          </cell>
          <cell r="E59">
            <v>1.5</v>
          </cell>
          <cell r="F59">
            <v>4</v>
          </cell>
          <cell r="G59">
            <v>6</v>
          </cell>
          <cell r="H59">
            <v>3</v>
          </cell>
          <cell r="I59">
            <v>-3.1288317140302224E-2</v>
          </cell>
          <cell r="J59">
            <v>1.1185788718036149</v>
          </cell>
          <cell r="K59">
            <v>-0.50967645074219126</v>
          </cell>
          <cell r="P59">
            <v>2</v>
          </cell>
          <cell r="Q59">
            <v>9</v>
          </cell>
        </row>
        <row r="60">
          <cell r="A60">
            <v>46</v>
          </cell>
          <cell r="B60" t="str">
            <v>Soap A</v>
          </cell>
          <cell r="C60">
            <v>2</v>
          </cell>
          <cell r="D60">
            <v>5</v>
          </cell>
          <cell r="E60">
            <v>1</v>
          </cell>
          <cell r="F60">
            <v>4</v>
          </cell>
          <cell r="G60">
            <v>7</v>
          </cell>
          <cell r="H60">
            <v>4</v>
          </cell>
          <cell r="I60">
            <v>-3.1288317140302224E-2</v>
          </cell>
          <cell r="J60">
            <v>1.644444636237187</v>
          </cell>
          <cell r="K60">
            <v>4.2083376666786312E-2</v>
          </cell>
          <cell r="P60">
            <v>2</v>
          </cell>
          <cell r="Q60">
            <v>5</v>
          </cell>
        </row>
        <row r="61">
          <cell r="A61">
            <v>47</v>
          </cell>
          <cell r="B61" t="str">
            <v>Soap B</v>
          </cell>
          <cell r="C61">
            <v>3.5</v>
          </cell>
          <cell r="D61">
            <v>1</v>
          </cell>
          <cell r="E61">
            <v>1.5</v>
          </cell>
          <cell r="F61">
            <v>2</v>
          </cell>
          <cell r="G61">
            <v>3</v>
          </cell>
          <cell r="H61">
            <v>5</v>
          </cell>
          <cell r="I61">
            <v>-1.0861515807276292</v>
          </cell>
          <cell r="J61">
            <v>-0.45901842149710087</v>
          </cell>
          <cell r="K61">
            <v>0.59384320407576385</v>
          </cell>
          <cell r="P61">
            <v>3</v>
          </cell>
          <cell r="Q61">
            <v>2</v>
          </cell>
        </row>
        <row r="62">
          <cell r="A62">
            <v>48</v>
          </cell>
          <cell r="B62" t="str">
            <v>Soap A</v>
          </cell>
          <cell r="C62">
            <v>2</v>
          </cell>
          <cell r="D62">
            <v>10</v>
          </cell>
          <cell r="E62">
            <v>1</v>
          </cell>
          <cell r="F62">
            <v>7</v>
          </cell>
          <cell r="G62">
            <v>3</v>
          </cell>
          <cell r="H62">
            <v>1</v>
          </cell>
          <cell r="I62">
            <v>1.5510065782406881</v>
          </cell>
          <cell r="J62">
            <v>-0.45901842149710087</v>
          </cell>
          <cell r="K62">
            <v>-1.6131961055601465</v>
          </cell>
          <cell r="P62">
            <v>1</v>
          </cell>
          <cell r="Q62">
            <v>10</v>
          </cell>
        </row>
        <row r="63">
          <cell r="A63">
            <v>49</v>
          </cell>
          <cell r="B63" t="str">
            <v>Soap B</v>
          </cell>
          <cell r="C63">
            <v>3.5</v>
          </cell>
          <cell r="D63">
            <v>2</v>
          </cell>
          <cell r="E63">
            <v>1.5</v>
          </cell>
          <cell r="F63">
            <v>2</v>
          </cell>
          <cell r="G63">
            <v>2</v>
          </cell>
          <cell r="H63">
            <v>5</v>
          </cell>
          <cell r="I63">
            <v>-1.0861515807276292</v>
          </cell>
          <cell r="J63">
            <v>-0.98488418593067284</v>
          </cell>
          <cell r="K63">
            <v>0.59384320407576385</v>
          </cell>
          <cell r="P63">
            <v>3</v>
          </cell>
          <cell r="Q63">
            <v>4</v>
          </cell>
        </row>
        <row r="64">
          <cell r="A64">
            <v>50</v>
          </cell>
          <cell r="B64" t="str">
            <v>Soap B</v>
          </cell>
          <cell r="C64">
            <v>2.5</v>
          </cell>
          <cell r="D64">
            <v>9</v>
          </cell>
          <cell r="E64">
            <v>1.5</v>
          </cell>
          <cell r="F64">
            <v>5</v>
          </cell>
          <cell r="G64">
            <v>3</v>
          </cell>
          <cell r="H64">
            <v>3</v>
          </cell>
          <cell r="I64">
            <v>0.49614331465336126</v>
          </cell>
          <cell r="J64">
            <v>-0.45901842149710087</v>
          </cell>
          <cell r="K64">
            <v>-0.50967645074219126</v>
          </cell>
          <cell r="P64">
            <v>1</v>
          </cell>
          <cell r="Q64">
            <v>9</v>
          </cell>
        </row>
        <row r="65">
          <cell r="A65">
            <v>51</v>
          </cell>
          <cell r="B65" t="str">
            <v>Soap A</v>
          </cell>
          <cell r="C65">
            <v>2.2999999999999998</v>
          </cell>
          <cell r="D65">
            <v>0</v>
          </cell>
          <cell r="E65">
            <v>1</v>
          </cell>
          <cell r="F65">
            <v>3</v>
          </cell>
          <cell r="G65">
            <v>3</v>
          </cell>
          <cell r="H65">
            <v>7</v>
          </cell>
          <cell r="I65">
            <v>-0.5587199489339657</v>
          </cell>
          <cell r="J65">
            <v>-0.45901842149710087</v>
          </cell>
          <cell r="K65">
            <v>1.6973628588937191</v>
          </cell>
          <cell r="P65">
            <v>3</v>
          </cell>
          <cell r="Q65">
            <v>0</v>
          </cell>
        </row>
        <row r="66">
          <cell r="A66">
            <v>52</v>
          </cell>
          <cell r="B66" t="str">
            <v>Soap A</v>
          </cell>
          <cell r="C66">
            <v>2.2999999999999998</v>
          </cell>
          <cell r="D66">
            <v>6</v>
          </cell>
          <cell r="E66">
            <v>1</v>
          </cell>
          <cell r="F66">
            <v>4</v>
          </cell>
          <cell r="G66">
            <v>6</v>
          </cell>
          <cell r="H66">
            <v>5</v>
          </cell>
          <cell r="I66">
            <v>-3.1288317140302224E-2</v>
          </cell>
          <cell r="J66">
            <v>1.1185788718036149</v>
          </cell>
          <cell r="K66">
            <v>0.59384320407576385</v>
          </cell>
          <cell r="P66">
            <v>2</v>
          </cell>
          <cell r="Q66">
            <v>7.7999999999999989</v>
          </cell>
        </row>
        <row r="67">
          <cell r="A67">
            <v>53</v>
          </cell>
          <cell r="B67" t="str">
            <v>Soap A</v>
          </cell>
          <cell r="C67">
            <v>2</v>
          </cell>
          <cell r="D67">
            <v>6</v>
          </cell>
          <cell r="E67">
            <v>1</v>
          </cell>
          <cell r="F67">
            <v>6</v>
          </cell>
          <cell r="G67">
            <v>3</v>
          </cell>
          <cell r="H67">
            <v>2</v>
          </cell>
          <cell r="I67">
            <v>1.0235749464470247</v>
          </cell>
          <cell r="J67">
            <v>-0.45901842149710087</v>
          </cell>
          <cell r="K67">
            <v>-1.0614362781511688</v>
          </cell>
          <cell r="P67">
            <v>1</v>
          </cell>
          <cell r="Q67">
            <v>6</v>
          </cell>
        </row>
        <row r="68">
          <cell r="A68">
            <v>54</v>
          </cell>
          <cell r="B68" t="str">
            <v>Soap B</v>
          </cell>
          <cell r="C68">
            <v>3</v>
          </cell>
          <cell r="D68">
            <v>6</v>
          </cell>
          <cell r="E68">
            <v>1.5</v>
          </cell>
          <cell r="F68">
            <v>4</v>
          </cell>
          <cell r="G68">
            <v>7</v>
          </cell>
          <cell r="H68">
            <v>4</v>
          </cell>
          <cell r="I68">
            <v>-3.1288317140302224E-2</v>
          </cell>
          <cell r="J68">
            <v>1.644444636237187</v>
          </cell>
          <cell r="K68">
            <v>4.2083376666786312E-2</v>
          </cell>
          <cell r="P68">
            <v>2</v>
          </cell>
          <cell r="Q68">
            <v>9</v>
          </cell>
        </row>
        <row r="69">
          <cell r="A69">
            <v>55</v>
          </cell>
          <cell r="B69" t="str">
            <v>Soap A</v>
          </cell>
          <cell r="C69">
            <v>2.2999999999999998</v>
          </cell>
          <cell r="D69">
            <v>0</v>
          </cell>
          <cell r="E69">
            <v>1</v>
          </cell>
          <cell r="F69">
            <v>2</v>
          </cell>
          <cell r="G69">
            <v>1</v>
          </cell>
          <cell r="H69">
            <v>5</v>
          </cell>
          <cell r="I69">
            <v>-1.0861515807276292</v>
          </cell>
          <cell r="J69">
            <v>-1.5107499503642448</v>
          </cell>
          <cell r="K69">
            <v>0.59384320407576385</v>
          </cell>
          <cell r="P69">
            <v>3</v>
          </cell>
          <cell r="Q69">
            <v>0</v>
          </cell>
        </row>
        <row r="70">
          <cell r="A70">
            <v>56</v>
          </cell>
          <cell r="B70" t="str">
            <v>Soap A</v>
          </cell>
          <cell r="C70">
            <v>2.2999999999999998</v>
          </cell>
          <cell r="D70">
            <v>6</v>
          </cell>
          <cell r="E70">
            <v>1</v>
          </cell>
          <cell r="F70">
            <v>5</v>
          </cell>
          <cell r="G70">
            <v>6</v>
          </cell>
          <cell r="H70">
            <v>5</v>
          </cell>
          <cell r="I70">
            <v>0.49614331465336126</v>
          </cell>
          <cell r="J70">
            <v>1.1185788718036149</v>
          </cell>
          <cell r="K70">
            <v>0.59384320407576385</v>
          </cell>
          <cell r="P70">
            <v>2</v>
          </cell>
          <cell r="Q70">
            <v>7.7999999999999989</v>
          </cell>
        </row>
        <row r="71">
          <cell r="A71">
            <v>57</v>
          </cell>
          <cell r="B71" t="str">
            <v>Soap A</v>
          </cell>
          <cell r="C71">
            <v>2</v>
          </cell>
          <cell r="D71">
            <v>10</v>
          </cell>
          <cell r="E71">
            <v>1</v>
          </cell>
          <cell r="F71">
            <v>5</v>
          </cell>
          <cell r="G71">
            <v>4</v>
          </cell>
          <cell r="H71">
            <v>1</v>
          </cell>
          <cell r="I71">
            <v>0.49614331465336126</v>
          </cell>
          <cell r="J71">
            <v>6.6847342936471071E-2</v>
          </cell>
          <cell r="K71">
            <v>-1.6131961055601465</v>
          </cell>
          <cell r="P71">
            <v>1</v>
          </cell>
          <cell r="Q71">
            <v>10</v>
          </cell>
        </row>
        <row r="72">
          <cell r="A72">
            <v>58</v>
          </cell>
          <cell r="B72" t="str">
            <v>Soap A</v>
          </cell>
          <cell r="C72">
            <v>2</v>
          </cell>
          <cell r="D72">
            <v>2</v>
          </cell>
          <cell r="E72">
            <v>1</v>
          </cell>
          <cell r="F72">
            <v>2</v>
          </cell>
          <cell r="G72">
            <v>2</v>
          </cell>
          <cell r="H72">
            <v>5</v>
          </cell>
          <cell r="I72">
            <v>-1.0861515807276292</v>
          </cell>
          <cell r="J72">
            <v>-0.98488418593067284</v>
          </cell>
          <cell r="K72">
            <v>0.59384320407576385</v>
          </cell>
          <cell r="P72">
            <v>3</v>
          </cell>
          <cell r="Q72">
            <v>2</v>
          </cell>
        </row>
        <row r="73">
          <cell r="A73">
            <v>59</v>
          </cell>
          <cell r="B73" t="str">
            <v>Soap B</v>
          </cell>
          <cell r="C73">
            <v>2.5</v>
          </cell>
          <cell r="D73">
            <v>6</v>
          </cell>
          <cell r="E73">
            <v>1.5</v>
          </cell>
          <cell r="F73">
            <v>3</v>
          </cell>
          <cell r="G73">
            <v>6</v>
          </cell>
          <cell r="H73">
            <v>3</v>
          </cell>
          <cell r="I73">
            <v>-0.5587199489339657</v>
          </cell>
          <cell r="J73">
            <v>1.1185788718036149</v>
          </cell>
          <cell r="K73">
            <v>-0.50967645074219126</v>
          </cell>
          <cell r="P73">
            <v>2</v>
          </cell>
          <cell r="Q73">
            <v>6</v>
          </cell>
        </row>
        <row r="74">
          <cell r="A74">
            <v>60</v>
          </cell>
          <cell r="B74" t="str">
            <v>Soap B</v>
          </cell>
          <cell r="C74">
            <v>3.5</v>
          </cell>
          <cell r="D74">
            <v>1</v>
          </cell>
          <cell r="E74">
            <v>1.5</v>
          </cell>
          <cell r="F74">
            <v>1</v>
          </cell>
          <cell r="G74">
            <v>2</v>
          </cell>
          <cell r="H74">
            <v>5</v>
          </cell>
          <cell r="I74">
            <v>-1.6135832125212926</v>
          </cell>
          <cell r="J74">
            <v>-0.98488418593067284</v>
          </cell>
          <cell r="K74">
            <v>0.59384320407576385</v>
          </cell>
          <cell r="P74">
            <v>3</v>
          </cell>
          <cell r="Q74">
            <v>2</v>
          </cell>
        </row>
        <row r="75">
          <cell r="A75">
            <v>61</v>
          </cell>
          <cell r="B75" t="str">
            <v>Soap B</v>
          </cell>
          <cell r="C75">
            <v>3</v>
          </cell>
          <cell r="D75">
            <v>6</v>
          </cell>
          <cell r="E75">
            <v>1.5</v>
          </cell>
          <cell r="F75">
            <v>3</v>
          </cell>
          <cell r="G75">
            <v>5</v>
          </cell>
          <cell r="H75">
            <v>3</v>
          </cell>
          <cell r="I75">
            <v>-0.5587199489339657</v>
          </cell>
          <cell r="J75">
            <v>0.59271310737004301</v>
          </cell>
          <cell r="K75">
            <v>-0.50967645074219126</v>
          </cell>
          <cell r="P75">
            <v>2</v>
          </cell>
          <cell r="Q75">
            <v>9</v>
          </cell>
        </row>
        <row r="76">
          <cell r="A76">
            <v>62</v>
          </cell>
          <cell r="B76" t="str">
            <v>Soap A</v>
          </cell>
          <cell r="C76">
            <v>2.2999999999999998</v>
          </cell>
          <cell r="D76">
            <v>2</v>
          </cell>
          <cell r="E76">
            <v>1</v>
          </cell>
          <cell r="F76">
            <v>2</v>
          </cell>
          <cell r="G76">
            <v>3</v>
          </cell>
          <cell r="H76">
            <v>7</v>
          </cell>
          <cell r="I76">
            <v>-1.0861515807276292</v>
          </cell>
          <cell r="J76">
            <v>-0.45901842149710087</v>
          </cell>
          <cell r="K76">
            <v>1.6973628588937191</v>
          </cell>
          <cell r="P76">
            <v>3</v>
          </cell>
          <cell r="Q76">
            <v>2.5999999999999996</v>
          </cell>
        </row>
        <row r="77">
          <cell r="A77">
            <v>63</v>
          </cell>
          <cell r="B77" t="str">
            <v>Soap A</v>
          </cell>
          <cell r="C77">
            <v>2.2999999999999998</v>
          </cell>
          <cell r="D77">
            <v>1</v>
          </cell>
          <cell r="E77">
            <v>1</v>
          </cell>
          <cell r="F77">
            <v>1</v>
          </cell>
          <cell r="G77">
            <v>2</v>
          </cell>
          <cell r="H77">
            <v>6</v>
          </cell>
          <cell r="I77">
            <v>-1.6135832125212926</v>
          </cell>
          <cell r="J77">
            <v>-0.98488418593067284</v>
          </cell>
          <cell r="K77">
            <v>1.1456030314847414</v>
          </cell>
          <cell r="P77">
            <v>3</v>
          </cell>
          <cell r="Q77">
            <v>1.2999999999999998</v>
          </cell>
        </row>
        <row r="78">
          <cell r="A78">
            <v>64</v>
          </cell>
          <cell r="B78" t="str">
            <v>Soap B</v>
          </cell>
          <cell r="C78">
            <v>3.5</v>
          </cell>
          <cell r="D78">
            <v>2</v>
          </cell>
          <cell r="E78">
            <v>1.5</v>
          </cell>
          <cell r="F78">
            <v>2</v>
          </cell>
          <cell r="G78">
            <v>1</v>
          </cell>
          <cell r="H78">
            <v>5</v>
          </cell>
          <cell r="I78">
            <v>-1.0861515807276292</v>
          </cell>
          <cell r="J78">
            <v>-1.5107499503642448</v>
          </cell>
          <cell r="K78">
            <v>0.59384320407576385</v>
          </cell>
          <cell r="P78">
            <v>3</v>
          </cell>
          <cell r="Q78">
            <v>4</v>
          </cell>
        </row>
        <row r="79">
          <cell r="A79">
            <v>65</v>
          </cell>
          <cell r="B79" t="str">
            <v>Soap B</v>
          </cell>
          <cell r="C79">
            <v>3.5</v>
          </cell>
          <cell r="D79">
            <v>1</v>
          </cell>
          <cell r="E79">
            <v>1.5</v>
          </cell>
          <cell r="F79">
            <v>1</v>
          </cell>
          <cell r="G79">
            <v>2</v>
          </cell>
          <cell r="H79">
            <v>7</v>
          </cell>
          <cell r="I79">
            <v>-1.6135832125212926</v>
          </cell>
          <cell r="J79">
            <v>-0.98488418593067284</v>
          </cell>
          <cell r="K79">
            <v>1.6973628588937191</v>
          </cell>
          <cell r="P79">
            <v>3</v>
          </cell>
          <cell r="Q79">
            <v>2</v>
          </cell>
        </row>
        <row r="80">
          <cell r="A80">
            <v>66</v>
          </cell>
          <cell r="B80" t="str">
            <v>Soap B</v>
          </cell>
          <cell r="C80">
            <v>2.5</v>
          </cell>
          <cell r="D80">
            <v>9</v>
          </cell>
          <cell r="E80">
            <v>1.5</v>
          </cell>
          <cell r="F80">
            <v>6</v>
          </cell>
          <cell r="G80">
            <v>4</v>
          </cell>
          <cell r="H80">
            <v>1</v>
          </cell>
          <cell r="I80">
            <v>1.0235749464470247</v>
          </cell>
          <cell r="J80">
            <v>6.6847342936471071E-2</v>
          </cell>
          <cell r="K80">
            <v>-1.6131961055601465</v>
          </cell>
          <cell r="P80">
            <v>1</v>
          </cell>
          <cell r="Q80">
            <v>9</v>
          </cell>
        </row>
        <row r="81">
          <cell r="A81">
            <v>67</v>
          </cell>
          <cell r="B81" t="str">
            <v>Soap A</v>
          </cell>
          <cell r="C81">
            <v>2</v>
          </cell>
          <cell r="D81">
            <v>9</v>
          </cell>
          <cell r="E81">
            <v>1</v>
          </cell>
          <cell r="F81">
            <v>7</v>
          </cell>
          <cell r="G81">
            <v>4</v>
          </cell>
          <cell r="H81">
            <v>2</v>
          </cell>
          <cell r="I81">
            <v>1.5510065782406881</v>
          </cell>
          <cell r="J81">
            <v>6.6847342936471071E-2</v>
          </cell>
          <cell r="K81">
            <v>-1.0614362781511688</v>
          </cell>
          <cell r="P81">
            <v>1</v>
          </cell>
          <cell r="Q81">
            <v>9</v>
          </cell>
        </row>
        <row r="82">
          <cell r="A82">
            <v>68</v>
          </cell>
          <cell r="B82" t="str">
            <v>Soap A</v>
          </cell>
          <cell r="C82">
            <v>2</v>
          </cell>
          <cell r="D82">
            <v>9</v>
          </cell>
          <cell r="E82">
            <v>1</v>
          </cell>
          <cell r="F82">
            <v>7</v>
          </cell>
          <cell r="G82">
            <v>4</v>
          </cell>
          <cell r="H82">
            <v>1</v>
          </cell>
          <cell r="I82">
            <v>1.5510065782406881</v>
          </cell>
          <cell r="J82">
            <v>6.6847342936471071E-2</v>
          </cell>
          <cell r="K82">
            <v>-1.6131961055601465</v>
          </cell>
          <cell r="P82">
            <v>1</v>
          </cell>
          <cell r="Q82">
            <v>9</v>
          </cell>
        </row>
        <row r="83">
          <cell r="A83">
            <v>69</v>
          </cell>
          <cell r="B83" t="str">
            <v>Soap B</v>
          </cell>
          <cell r="C83">
            <v>2.5</v>
          </cell>
          <cell r="D83">
            <v>6</v>
          </cell>
          <cell r="E83">
            <v>1.5</v>
          </cell>
          <cell r="F83">
            <v>3</v>
          </cell>
          <cell r="G83">
            <v>6</v>
          </cell>
          <cell r="H83">
            <v>3</v>
          </cell>
          <cell r="I83">
            <v>-0.5587199489339657</v>
          </cell>
          <cell r="J83">
            <v>1.1185788718036149</v>
          </cell>
          <cell r="K83">
            <v>-0.50967645074219126</v>
          </cell>
          <cell r="P83">
            <v>2</v>
          </cell>
          <cell r="Q83">
            <v>6</v>
          </cell>
        </row>
        <row r="84">
          <cell r="A84">
            <v>70</v>
          </cell>
          <cell r="B84" t="str">
            <v>Soap A</v>
          </cell>
          <cell r="C84">
            <v>2</v>
          </cell>
          <cell r="D84">
            <v>0</v>
          </cell>
          <cell r="E84">
            <v>1</v>
          </cell>
          <cell r="F84">
            <v>1</v>
          </cell>
          <cell r="G84">
            <v>1</v>
          </cell>
          <cell r="H84">
            <v>5</v>
          </cell>
          <cell r="I84">
            <v>-1.6135832125212926</v>
          </cell>
          <cell r="J84">
            <v>-1.5107499503642448</v>
          </cell>
          <cell r="K84">
            <v>0.59384320407576385</v>
          </cell>
          <cell r="P84">
            <v>3</v>
          </cell>
          <cell r="Q84">
            <v>0</v>
          </cell>
        </row>
        <row r="85">
          <cell r="A85">
            <v>71</v>
          </cell>
          <cell r="B85" t="str">
            <v>Soap B</v>
          </cell>
          <cell r="C85">
            <v>3</v>
          </cell>
          <cell r="D85">
            <v>5</v>
          </cell>
          <cell r="E85">
            <v>1.5</v>
          </cell>
          <cell r="F85">
            <v>4</v>
          </cell>
          <cell r="G85">
            <v>7</v>
          </cell>
          <cell r="H85">
            <v>3</v>
          </cell>
          <cell r="I85">
            <v>-3.1288317140302224E-2</v>
          </cell>
          <cell r="J85">
            <v>1.644444636237187</v>
          </cell>
          <cell r="K85">
            <v>-0.50967645074219126</v>
          </cell>
          <cell r="P85">
            <v>2</v>
          </cell>
          <cell r="Q85">
            <v>7.5</v>
          </cell>
        </row>
        <row r="86">
          <cell r="A86">
            <v>72</v>
          </cell>
          <cell r="B86" t="str">
            <v>Soap A</v>
          </cell>
          <cell r="C86">
            <v>2</v>
          </cell>
          <cell r="D86">
            <v>2</v>
          </cell>
          <cell r="E86">
            <v>1</v>
          </cell>
          <cell r="F86">
            <v>1</v>
          </cell>
          <cell r="G86">
            <v>3</v>
          </cell>
          <cell r="H86">
            <v>6</v>
          </cell>
          <cell r="I86">
            <v>-1.6135832125212926</v>
          </cell>
          <cell r="J86">
            <v>-0.45901842149710087</v>
          </cell>
          <cell r="K86">
            <v>1.1456030314847414</v>
          </cell>
          <cell r="P86">
            <v>3</v>
          </cell>
          <cell r="Q86">
            <v>2</v>
          </cell>
        </row>
        <row r="87">
          <cell r="A87">
            <v>73</v>
          </cell>
          <cell r="B87" t="str">
            <v>Soap B</v>
          </cell>
          <cell r="C87">
            <v>2.5</v>
          </cell>
          <cell r="D87">
            <v>6</v>
          </cell>
          <cell r="E87">
            <v>1.5</v>
          </cell>
          <cell r="F87">
            <v>7</v>
          </cell>
          <cell r="G87">
            <v>3</v>
          </cell>
          <cell r="H87">
            <v>1</v>
          </cell>
          <cell r="I87">
            <v>1.5510065782406881</v>
          </cell>
          <cell r="J87">
            <v>-0.45901842149710087</v>
          </cell>
          <cell r="K87">
            <v>-1.6131961055601465</v>
          </cell>
          <cell r="P87">
            <v>1</v>
          </cell>
          <cell r="Q87">
            <v>6</v>
          </cell>
        </row>
        <row r="88">
          <cell r="A88">
            <v>74</v>
          </cell>
          <cell r="B88" t="str">
            <v>Soap B</v>
          </cell>
          <cell r="C88">
            <v>2.5</v>
          </cell>
          <cell r="D88">
            <v>9</v>
          </cell>
          <cell r="E88">
            <v>1.5</v>
          </cell>
          <cell r="F88">
            <v>5</v>
          </cell>
          <cell r="G88">
            <v>4</v>
          </cell>
          <cell r="H88">
            <v>2</v>
          </cell>
          <cell r="I88">
            <v>0.49614331465336126</v>
          </cell>
          <cell r="J88">
            <v>6.6847342936471071E-2</v>
          </cell>
          <cell r="K88">
            <v>-1.0614362781511688</v>
          </cell>
          <cell r="P88">
            <v>1</v>
          </cell>
          <cell r="Q88">
            <v>9</v>
          </cell>
        </row>
        <row r="89">
          <cell r="A89">
            <v>75</v>
          </cell>
          <cell r="B89" t="str">
            <v>Soap B</v>
          </cell>
          <cell r="C89">
            <v>2.5</v>
          </cell>
          <cell r="D89">
            <v>7</v>
          </cell>
          <cell r="E89">
            <v>1.5</v>
          </cell>
          <cell r="F89">
            <v>6</v>
          </cell>
          <cell r="G89">
            <v>4</v>
          </cell>
          <cell r="H89">
            <v>2</v>
          </cell>
          <cell r="I89">
            <v>1.0235749464470247</v>
          </cell>
          <cell r="J89">
            <v>6.6847342936471071E-2</v>
          </cell>
          <cell r="K89">
            <v>-1.0614362781511688</v>
          </cell>
          <cell r="P89">
            <v>1</v>
          </cell>
          <cell r="Q89">
            <v>7</v>
          </cell>
        </row>
        <row r="90">
          <cell r="A90">
            <v>76</v>
          </cell>
          <cell r="B90" t="str">
            <v>Soap A</v>
          </cell>
          <cell r="C90">
            <v>2.2999999999999998</v>
          </cell>
          <cell r="D90">
            <v>7</v>
          </cell>
          <cell r="E90">
            <v>1</v>
          </cell>
          <cell r="F90">
            <v>6</v>
          </cell>
          <cell r="G90">
            <v>3</v>
          </cell>
          <cell r="H90">
            <v>1</v>
          </cell>
          <cell r="I90">
            <v>1.0235749464470247</v>
          </cell>
          <cell r="J90">
            <v>-0.45901842149710087</v>
          </cell>
          <cell r="K90">
            <v>-1.6131961055601465</v>
          </cell>
          <cell r="P90">
            <v>1</v>
          </cell>
          <cell r="Q90">
            <v>9.0999999999999979</v>
          </cell>
        </row>
        <row r="91">
          <cell r="A91">
            <v>77</v>
          </cell>
          <cell r="B91" t="str">
            <v>Soap B</v>
          </cell>
          <cell r="C91">
            <v>3.5</v>
          </cell>
          <cell r="D91">
            <v>1</v>
          </cell>
          <cell r="E91">
            <v>1.5</v>
          </cell>
          <cell r="F91">
            <v>2</v>
          </cell>
          <cell r="G91">
            <v>1</v>
          </cell>
          <cell r="H91">
            <v>7</v>
          </cell>
          <cell r="I91">
            <v>-1.0861515807276292</v>
          </cell>
          <cell r="J91">
            <v>-1.5107499503642448</v>
          </cell>
          <cell r="K91">
            <v>1.6973628588937191</v>
          </cell>
          <cell r="P91">
            <v>3</v>
          </cell>
          <cell r="Q91">
            <v>2</v>
          </cell>
        </row>
        <row r="92">
          <cell r="A92">
            <v>78</v>
          </cell>
          <cell r="B92" t="str">
            <v>Soap B</v>
          </cell>
          <cell r="C92">
            <v>3</v>
          </cell>
          <cell r="D92">
            <v>5</v>
          </cell>
          <cell r="E92">
            <v>1.5</v>
          </cell>
          <cell r="F92">
            <v>5</v>
          </cell>
          <cell r="G92">
            <v>6</v>
          </cell>
          <cell r="H92">
            <v>4</v>
          </cell>
          <cell r="I92">
            <v>0.49614331465336126</v>
          </cell>
          <cell r="J92">
            <v>1.1185788718036149</v>
          </cell>
          <cell r="K92">
            <v>4.2083376666786312E-2</v>
          </cell>
          <cell r="P92">
            <v>2</v>
          </cell>
          <cell r="Q92">
            <v>7.5</v>
          </cell>
        </row>
        <row r="93">
          <cell r="A93">
            <v>79</v>
          </cell>
          <cell r="B93" t="str">
            <v>Soap A</v>
          </cell>
          <cell r="C93">
            <v>2.2999999999999998</v>
          </cell>
          <cell r="D93">
            <v>2</v>
          </cell>
          <cell r="E93">
            <v>1</v>
          </cell>
          <cell r="F93">
            <v>3</v>
          </cell>
          <cell r="G93">
            <v>2</v>
          </cell>
          <cell r="H93">
            <v>6</v>
          </cell>
          <cell r="I93">
            <v>-0.5587199489339657</v>
          </cell>
          <cell r="J93">
            <v>-0.98488418593067284</v>
          </cell>
          <cell r="K93">
            <v>1.1456030314847414</v>
          </cell>
          <cell r="P93">
            <v>3</v>
          </cell>
          <cell r="Q93">
            <v>2.5999999999999996</v>
          </cell>
        </row>
        <row r="94">
          <cell r="A94">
            <v>80</v>
          </cell>
          <cell r="B94" t="str">
            <v>Soap A</v>
          </cell>
          <cell r="C94">
            <v>2.2999999999999998</v>
          </cell>
          <cell r="D94">
            <v>1</v>
          </cell>
          <cell r="E94">
            <v>1</v>
          </cell>
          <cell r="F94">
            <v>2</v>
          </cell>
          <cell r="G94">
            <v>1</v>
          </cell>
          <cell r="H94">
            <v>6</v>
          </cell>
          <cell r="I94">
            <v>-1.0861515807276292</v>
          </cell>
          <cell r="J94">
            <v>-1.5107499503642448</v>
          </cell>
          <cell r="K94">
            <v>1.1456030314847414</v>
          </cell>
          <cell r="P94">
            <v>3</v>
          </cell>
          <cell r="Q94">
            <v>1.2999999999999998</v>
          </cell>
        </row>
        <row r="95">
          <cell r="A95">
            <v>81</v>
          </cell>
          <cell r="B95" t="str">
            <v>Soap B</v>
          </cell>
          <cell r="C95">
            <v>3</v>
          </cell>
          <cell r="D95">
            <v>6</v>
          </cell>
          <cell r="E95">
            <v>1.5</v>
          </cell>
          <cell r="F95">
            <v>3</v>
          </cell>
          <cell r="G95">
            <v>5</v>
          </cell>
          <cell r="H95">
            <v>3</v>
          </cell>
          <cell r="I95">
            <v>-0.5587199489339657</v>
          </cell>
          <cell r="J95">
            <v>0.59271310737004301</v>
          </cell>
          <cell r="K95">
            <v>-0.50967645074219126</v>
          </cell>
          <cell r="P95">
            <v>2</v>
          </cell>
          <cell r="Q95">
            <v>9</v>
          </cell>
        </row>
        <row r="96">
          <cell r="A96">
            <v>82</v>
          </cell>
          <cell r="B96" t="str">
            <v>Soap B</v>
          </cell>
          <cell r="C96">
            <v>2.5</v>
          </cell>
          <cell r="D96">
            <v>9</v>
          </cell>
          <cell r="E96">
            <v>1.5</v>
          </cell>
          <cell r="F96">
            <v>7</v>
          </cell>
          <cell r="G96">
            <v>5</v>
          </cell>
          <cell r="H96">
            <v>3</v>
          </cell>
          <cell r="I96">
            <v>1.5510065782406881</v>
          </cell>
          <cell r="J96">
            <v>0.59271310737004301</v>
          </cell>
          <cell r="K96">
            <v>-0.50967645074219126</v>
          </cell>
          <cell r="P96">
            <v>1</v>
          </cell>
          <cell r="Q96">
            <v>9</v>
          </cell>
        </row>
        <row r="97">
          <cell r="A97">
            <v>83</v>
          </cell>
          <cell r="B97" t="str">
            <v>Soap B</v>
          </cell>
          <cell r="C97">
            <v>3.5</v>
          </cell>
          <cell r="D97">
            <v>2</v>
          </cell>
          <cell r="E97">
            <v>1.5</v>
          </cell>
          <cell r="F97">
            <v>3</v>
          </cell>
          <cell r="G97">
            <v>1</v>
          </cell>
          <cell r="H97">
            <v>6</v>
          </cell>
          <cell r="I97">
            <v>-0.5587199489339657</v>
          </cell>
          <cell r="J97">
            <v>-1.5107499503642448</v>
          </cell>
          <cell r="K97">
            <v>1.1456030314847414</v>
          </cell>
          <cell r="P97">
            <v>3</v>
          </cell>
          <cell r="Q97">
            <v>4</v>
          </cell>
        </row>
        <row r="98">
          <cell r="A98">
            <v>84</v>
          </cell>
          <cell r="B98" t="str">
            <v>Soap B</v>
          </cell>
          <cell r="C98">
            <v>3</v>
          </cell>
          <cell r="D98">
            <v>7</v>
          </cell>
          <cell r="E98">
            <v>1.5</v>
          </cell>
          <cell r="F98">
            <v>7</v>
          </cell>
          <cell r="G98">
            <v>5</v>
          </cell>
          <cell r="H98">
            <v>3</v>
          </cell>
          <cell r="I98">
            <v>1.5510065782406881</v>
          </cell>
          <cell r="J98">
            <v>0.59271310737004301</v>
          </cell>
          <cell r="K98">
            <v>-0.50967645074219126</v>
          </cell>
          <cell r="P98">
            <v>1</v>
          </cell>
          <cell r="Q98">
            <v>10.5</v>
          </cell>
        </row>
        <row r="99">
          <cell r="A99">
            <v>85</v>
          </cell>
          <cell r="B99" t="str">
            <v>Soap B</v>
          </cell>
          <cell r="C99">
            <v>3</v>
          </cell>
          <cell r="D99">
            <v>7</v>
          </cell>
          <cell r="E99">
            <v>1.5</v>
          </cell>
          <cell r="F99">
            <v>7</v>
          </cell>
          <cell r="G99">
            <v>3</v>
          </cell>
          <cell r="H99">
            <v>2</v>
          </cell>
          <cell r="I99">
            <v>1.5510065782406881</v>
          </cell>
          <cell r="J99">
            <v>-0.45901842149710087</v>
          </cell>
          <cell r="K99">
            <v>-1.0614362781511688</v>
          </cell>
          <cell r="P99">
            <v>1</v>
          </cell>
          <cell r="Q99">
            <v>10.5</v>
          </cell>
        </row>
        <row r="100">
          <cell r="A100">
            <v>86</v>
          </cell>
          <cell r="B100" t="str">
            <v>Soap A</v>
          </cell>
          <cell r="C100">
            <v>2</v>
          </cell>
          <cell r="D100">
            <v>2</v>
          </cell>
          <cell r="E100">
            <v>1</v>
          </cell>
          <cell r="F100">
            <v>3</v>
          </cell>
          <cell r="G100">
            <v>1</v>
          </cell>
          <cell r="H100">
            <v>5</v>
          </cell>
          <cell r="I100">
            <v>-0.5587199489339657</v>
          </cell>
          <cell r="J100">
            <v>-1.5107499503642448</v>
          </cell>
          <cell r="K100">
            <v>0.59384320407576385</v>
          </cell>
          <cell r="P100">
            <v>3</v>
          </cell>
          <cell r="Q100">
            <v>2</v>
          </cell>
        </row>
        <row r="101">
          <cell r="A101">
            <v>87</v>
          </cell>
          <cell r="B101" t="str">
            <v>Soap A</v>
          </cell>
          <cell r="C101">
            <v>2.2999999999999998</v>
          </cell>
          <cell r="D101">
            <v>3</v>
          </cell>
          <cell r="E101">
            <v>1</v>
          </cell>
          <cell r="F101">
            <v>5</v>
          </cell>
          <cell r="G101">
            <v>5</v>
          </cell>
          <cell r="H101">
            <v>4</v>
          </cell>
          <cell r="I101">
            <v>0.49614331465336126</v>
          </cell>
          <cell r="J101">
            <v>0.59271310737004301</v>
          </cell>
          <cell r="K101">
            <v>4.2083376666786312E-2</v>
          </cell>
          <cell r="P101">
            <v>2</v>
          </cell>
          <cell r="Q101">
            <v>3.8999999999999995</v>
          </cell>
        </row>
        <row r="102">
          <cell r="A102">
            <v>88</v>
          </cell>
          <cell r="B102" t="str">
            <v>Soap B</v>
          </cell>
          <cell r="C102">
            <v>3.5</v>
          </cell>
          <cell r="D102">
            <v>1</v>
          </cell>
          <cell r="E102">
            <v>1.5</v>
          </cell>
          <cell r="F102">
            <v>1</v>
          </cell>
          <cell r="G102">
            <v>1</v>
          </cell>
          <cell r="H102">
            <v>5</v>
          </cell>
          <cell r="I102">
            <v>-1.6135832125212926</v>
          </cell>
          <cell r="J102">
            <v>-1.5107499503642448</v>
          </cell>
          <cell r="K102">
            <v>0.59384320407576385</v>
          </cell>
          <cell r="P102">
            <v>3</v>
          </cell>
          <cell r="Q102">
            <v>2</v>
          </cell>
        </row>
        <row r="103">
          <cell r="A103">
            <v>89</v>
          </cell>
          <cell r="B103" t="str">
            <v>Soap B</v>
          </cell>
          <cell r="C103">
            <v>2.5</v>
          </cell>
          <cell r="D103">
            <v>7</v>
          </cell>
          <cell r="E103">
            <v>1.5</v>
          </cell>
          <cell r="F103">
            <v>7</v>
          </cell>
          <cell r="G103">
            <v>4</v>
          </cell>
          <cell r="H103">
            <v>2</v>
          </cell>
          <cell r="I103">
            <v>1.5510065782406881</v>
          </cell>
          <cell r="J103">
            <v>6.6847342936471071E-2</v>
          </cell>
          <cell r="K103">
            <v>-1.0614362781511688</v>
          </cell>
          <cell r="P103">
            <v>1</v>
          </cell>
          <cell r="Q103">
            <v>7</v>
          </cell>
        </row>
        <row r="104">
          <cell r="A104">
            <v>90</v>
          </cell>
          <cell r="B104" t="str">
            <v>Soap A</v>
          </cell>
          <cell r="C104">
            <v>2.2999999999999998</v>
          </cell>
          <cell r="D104">
            <v>7</v>
          </cell>
          <cell r="E104">
            <v>1</v>
          </cell>
          <cell r="F104">
            <v>7</v>
          </cell>
          <cell r="G104">
            <v>3</v>
          </cell>
          <cell r="H104">
            <v>3</v>
          </cell>
          <cell r="I104">
            <v>1.5510065782406881</v>
          </cell>
          <cell r="J104">
            <v>-0.45901842149710087</v>
          </cell>
          <cell r="K104">
            <v>-0.50967645074219126</v>
          </cell>
          <cell r="P104">
            <v>1</v>
          </cell>
          <cell r="Q104">
            <v>9.0999999999999979</v>
          </cell>
        </row>
        <row r="105">
          <cell r="A105">
            <v>91</v>
          </cell>
          <cell r="B105" t="str">
            <v>Soap A</v>
          </cell>
          <cell r="C105">
            <v>2</v>
          </cell>
          <cell r="D105">
            <v>10</v>
          </cell>
          <cell r="E105">
            <v>1</v>
          </cell>
          <cell r="F105">
            <v>7</v>
          </cell>
          <cell r="G105">
            <v>5</v>
          </cell>
          <cell r="H105">
            <v>1</v>
          </cell>
          <cell r="I105">
            <v>1.5510065782406881</v>
          </cell>
          <cell r="J105">
            <v>0.59271310737004301</v>
          </cell>
          <cell r="K105">
            <v>-1.6131961055601465</v>
          </cell>
          <cell r="P105">
            <v>1</v>
          </cell>
          <cell r="Q105">
            <v>10</v>
          </cell>
        </row>
        <row r="106">
          <cell r="A106">
            <v>92</v>
          </cell>
          <cell r="B106" t="str">
            <v>Soap B</v>
          </cell>
          <cell r="C106">
            <v>2.5</v>
          </cell>
          <cell r="D106">
            <v>6</v>
          </cell>
          <cell r="E106">
            <v>1.5</v>
          </cell>
          <cell r="F106">
            <v>3</v>
          </cell>
          <cell r="G106">
            <v>6</v>
          </cell>
          <cell r="H106">
            <v>5</v>
          </cell>
          <cell r="I106">
            <v>-0.5587199489339657</v>
          </cell>
          <cell r="J106">
            <v>1.1185788718036149</v>
          </cell>
          <cell r="K106">
            <v>0.59384320407576385</v>
          </cell>
          <cell r="P106">
            <v>2</v>
          </cell>
          <cell r="Q106">
            <v>6</v>
          </cell>
        </row>
        <row r="107">
          <cell r="A107">
            <v>93</v>
          </cell>
          <cell r="B107" t="str">
            <v>Soap B</v>
          </cell>
          <cell r="C107">
            <v>3.5</v>
          </cell>
          <cell r="D107">
            <v>2</v>
          </cell>
          <cell r="E107">
            <v>1.5</v>
          </cell>
          <cell r="F107">
            <v>3</v>
          </cell>
          <cell r="G107">
            <v>2</v>
          </cell>
          <cell r="H107">
            <v>5</v>
          </cell>
          <cell r="I107">
            <v>-0.5587199489339657</v>
          </cell>
          <cell r="J107">
            <v>-0.98488418593067284</v>
          </cell>
          <cell r="K107">
            <v>0.59384320407576385</v>
          </cell>
          <cell r="P107">
            <v>3</v>
          </cell>
          <cell r="Q107">
            <v>4</v>
          </cell>
        </row>
        <row r="108">
          <cell r="A108">
            <v>94</v>
          </cell>
          <cell r="B108" t="str">
            <v>Soap A</v>
          </cell>
          <cell r="C108">
            <v>2.2999999999999998</v>
          </cell>
          <cell r="D108">
            <v>5</v>
          </cell>
          <cell r="E108">
            <v>1</v>
          </cell>
          <cell r="F108">
            <v>4</v>
          </cell>
          <cell r="G108">
            <v>7</v>
          </cell>
          <cell r="H108">
            <v>5</v>
          </cell>
          <cell r="I108">
            <v>-3.1288317140302224E-2</v>
          </cell>
          <cell r="J108">
            <v>1.644444636237187</v>
          </cell>
          <cell r="K108">
            <v>0.59384320407576385</v>
          </cell>
          <cell r="P108">
            <v>2</v>
          </cell>
          <cell r="Q108">
            <v>6.4999999999999991</v>
          </cell>
        </row>
        <row r="109">
          <cell r="A109">
            <v>95</v>
          </cell>
          <cell r="B109" t="str">
            <v>Soap B</v>
          </cell>
          <cell r="C109">
            <v>3.5</v>
          </cell>
          <cell r="D109">
            <v>1</v>
          </cell>
          <cell r="E109">
            <v>1.5</v>
          </cell>
          <cell r="F109">
            <v>1</v>
          </cell>
          <cell r="G109">
            <v>1</v>
          </cell>
          <cell r="H109">
            <v>6</v>
          </cell>
          <cell r="I109">
            <v>-1.6135832125212926</v>
          </cell>
          <cell r="J109">
            <v>-1.5107499503642448</v>
          </cell>
          <cell r="K109">
            <v>1.1456030314847414</v>
          </cell>
          <cell r="P109">
            <v>3</v>
          </cell>
          <cell r="Q109">
            <v>2</v>
          </cell>
        </row>
        <row r="110">
          <cell r="A110">
            <v>96</v>
          </cell>
          <cell r="B110" t="str">
            <v>Soap B</v>
          </cell>
          <cell r="C110">
            <v>3</v>
          </cell>
          <cell r="D110">
            <v>5</v>
          </cell>
          <cell r="E110">
            <v>1.5</v>
          </cell>
          <cell r="F110">
            <v>4</v>
          </cell>
          <cell r="G110">
            <v>5</v>
          </cell>
          <cell r="H110">
            <v>3</v>
          </cell>
          <cell r="I110">
            <v>-3.1288317140302224E-2</v>
          </cell>
          <cell r="J110">
            <v>0.59271310737004301</v>
          </cell>
          <cell r="K110">
            <v>-0.50967645074219126</v>
          </cell>
          <cell r="P110">
            <v>2</v>
          </cell>
          <cell r="Q110">
            <v>7.5</v>
          </cell>
        </row>
        <row r="111">
          <cell r="A111">
            <v>97</v>
          </cell>
          <cell r="B111" t="str">
            <v>Soap A</v>
          </cell>
          <cell r="C111">
            <v>2.2999999999999998</v>
          </cell>
          <cell r="D111">
            <v>7</v>
          </cell>
          <cell r="E111">
            <v>1</v>
          </cell>
          <cell r="F111">
            <v>7</v>
          </cell>
          <cell r="G111">
            <v>5</v>
          </cell>
          <cell r="H111">
            <v>1</v>
          </cell>
          <cell r="I111">
            <v>1.5510065782406881</v>
          </cell>
          <cell r="J111">
            <v>0.59271310737004301</v>
          </cell>
          <cell r="K111">
            <v>-1.6131961055601465</v>
          </cell>
          <cell r="P111">
            <v>1</v>
          </cell>
          <cell r="Q111">
            <v>9.0999999999999979</v>
          </cell>
        </row>
        <row r="112">
          <cell r="A112">
            <v>98</v>
          </cell>
          <cell r="B112" t="str">
            <v>Soap B</v>
          </cell>
          <cell r="C112">
            <v>3</v>
          </cell>
          <cell r="D112">
            <v>6</v>
          </cell>
          <cell r="E112">
            <v>1.5</v>
          </cell>
          <cell r="F112">
            <v>5</v>
          </cell>
          <cell r="G112">
            <v>5</v>
          </cell>
          <cell r="H112">
            <v>5</v>
          </cell>
          <cell r="I112">
            <v>0.49614331465336126</v>
          </cell>
          <cell r="J112">
            <v>0.59271310737004301</v>
          </cell>
          <cell r="K112">
            <v>0.59384320407576385</v>
          </cell>
          <cell r="P112">
            <v>2</v>
          </cell>
          <cell r="Q112">
            <v>9</v>
          </cell>
        </row>
        <row r="113">
          <cell r="A113">
            <v>99</v>
          </cell>
          <cell r="B113" t="str">
            <v>Soap A</v>
          </cell>
          <cell r="C113">
            <v>2</v>
          </cell>
          <cell r="D113">
            <v>4</v>
          </cell>
          <cell r="E113">
            <v>1</v>
          </cell>
          <cell r="F113">
            <v>5</v>
          </cell>
          <cell r="G113">
            <v>7</v>
          </cell>
          <cell r="H113">
            <v>5</v>
          </cell>
          <cell r="I113">
            <v>0.49614331465336126</v>
          </cell>
          <cell r="J113">
            <v>1.644444636237187</v>
          </cell>
          <cell r="K113">
            <v>0.59384320407576385</v>
          </cell>
          <cell r="P113">
            <v>2</v>
          </cell>
          <cell r="Q113">
            <v>4</v>
          </cell>
        </row>
        <row r="114">
          <cell r="A114">
            <v>100</v>
          </cell>
          <cell r="B114" t="str">
            <v>Soap B</v>
          </cell>
          <cell r="C114">
            <v>2.5</v>
          </cell>
          <cell r="D114">
            <v>9</v>
          </cell>
          <cell r="E114">
            <v>1.5</v>
          </cell>
          <cell r="F114">
            <v>6</v>
          </cell>
          <cell r="G114">
            <v>3</v>
          </cell>
          <cell r="H114">
            <v>1</v>
          </cell>
          <cell r="I114">
            <v>1.0235749464470247</v>
          </cell>
          <cell r="J114">
            <v>-0.45901842149710087</v>
          </cell>
          <cell r="K114">
            <v>-1.6131961055601465</v>
          </cell>
          <cell r="P114">
            <v>1</v>
          </cell>
          <cell r="Q114">
            <v>9</v>
          </cell>
        </row>
        <row r="115">
          <cell r="A115">
            <v>101</v>
          </cell>
          <cell r="B115" t="str">
            <v>Soap A</v>
          </cell>
          <cell r="C115">
            <v>2.2999999999999998</v>
          </cell>
          <cell r="D115">
            <v>1</v>
          </cell>
          <cell r="E115">
            <v>1</v>
          </cell>
          <cell r="F115">
            <v>1</v>
          </cell>
          <cell r="G115">
            <v>3</v>
          </cell>
          <cell r="H115">
            <v>5</v>
          </cell>
          <cell r="I115">
            <v>-1.6135832125212926</v>
          </cell>
          <cell r="J115">
            <v>-0.45901842149710087</v>
          </cell>
          <cell r="K115">
            <v>0.59384320407576385</v>
          </cell>
          <cell r="P115">
            <v>3</v>
          </cell>
          <cell r="Q115">
            <v>1.2999999999999998</v>
          </cell>
        </row>
        <row r="116">
          <cell r="A116">
            <v>102</v>
          </cell>
          <cell r="B116" t="str">
            <v>Soap B</v>
          </cell>
          <cell r="C116">
            <v>3.5</v>
          </cell>
          <cell r="D116">
            <v>1</v>
          </cell>
          <cell r="E116">
            <v>1.5</v>
          </cell>
          <cell r="F116">
            <v>2</v>
          </cell>
          <cell r="G116">
            <v>1</v>
          </cell>
          <cell r="H116">
            <v>6</v>
          </cell>
          <cell r="I116">
            <v>-1.0861515807276292</v>
          </cell>
          <cell r="J116">
            <v>-1.5107499503642448</v>
          </cell>
          <cell r="K116">
            <v>1.1456030314847414</v>
          </cell>
          <cell r="P116">
            <v>3</v>
          </cell>
          <cell r="Q116">
            <v>2</v>
          </cell>
        </row>
        <row r="117">
          <cell r="A117">
            <v>103</v>
          </cell>
          <cell r="B117" t="str">
            <v>Soap B</v>
          </cell>
          <cell r="C117">
            <v>3.5</v>
          </cell>
          <cell r="D117">
            <v>1</v>
          </cell>
          <cell r="E117">
            <v>1.5</v>
          </cell>
          <cell r="F117">
            <v>1</v>
          </cell>
          <cell r="G117">
            <v>3</v>
          </cell>
          <cell r="H117">
            <v>5</v>
          </cell>
          <cell r="I117">
            <v>-1.6135832125212926</v>
          </cell>
          <cell r="J117">
            <v>-0.45901842149710087</v>
          </cell>
          <cell r="K117">
            <v>0.59384320407576385</v>
          </cell>
          <cell r="P117">
            <v>3</v>
          </cell>
          <cell r="Q117">
            <v>2</v>
          </cell>
        </row>
        <row r="118">
          <cell r="A118">
            <v>104</v>
          </cell>
          <cell r="B118" t="str">
            <v>Soap A</v>
          </cell>
          <cell r="C118">
            <v>2</v>
          </cell>
          <cell r="D118">
            <v>9</v>
          </cell>
          <cell r="E118">
            <v>1</v>
          </cell>
          <cell r="F118">
            <v>5</v>
          </cell>
          <cell r="G118">
            <v>4</v>
          </cell>
          <cell r="H118">
            <v>1</v>
          </cell>
          <cell r="I118">
            <v>0.49614331465336126</v>
          </cell>
          <cell r="J118">
            <v>6.6847342936471071E-2</v>
          </cell>
          <cell r="K118">
            <v>-1.6131961055601465</v>
          </cell>
          <cell r="P118">
            <v>1</v>
          </cell>
          <cell r="Q118">
            <v>9</v>
          </cell>
        </row>
        <row r="119">
          <cell r="A119">
            <v>105</v>
          </cell>
          <cell r="B119" t="str">
            <v>Soap B</v>
          </cell>
          <cell r="C119">
            <v>2.5</v>
          </cell>
          <cell r="D119">
            <v>9</v>
          </cell>
          <cell r="E119">
            <v>1.5</v>
          </cell>
          <cell r="F119">
            <v>6</v>
          </cell>
          <cell r="G119">
            <v>5</v>
          </cell>
          <cell r="H119">
            <v>3</v>
          </cell>
          <cell r="I119">
            <v>1.0235749464470247</v>
          </cell>
          <cell r="J119">
            <v>0.59271310737004301</v>
          </cell>
          <cell r="K119">
            <v>-0.50967645074219126</v>
          </cell>
          <cell r="P119">
            <v>1</v>
          </cell>
          <cell r="Q119">
            <v>9</v>
          </cell>
        </row>
        <row r="120">
          <cell r="A120">
            <v>106</v>
          </cell>
          <cell r="B120" t="str">
            <v>Soap B</v>
          </cell>
          <cell r="C120">
            <v>2.5</v>
          </cell>
          <cell r="D120">
            <v>7</v>
          </cell>
          <cell r="E120">
            <v>1.5</v>
          </cell>
          <cell r="F120">
            <v>7</v>
          </cell>
          <cell r="G120">
            <v>3</v>
          </cell>
          <cell r="H120">
            <v>3</v>
          </cell>
          <cell r="I120">
            <v>1.5510065782406881</v>
          </cell>
          <cell r="J120">
            <v>-0.45901842149710087</v>
          </cell>
          <cell r="K120">
            <v>-0.50967645074219126</v>
          </cell>
          <cell r="P120">
            <v>1</v>
          </cell>
          <cell r="Q120">
            <v>7</v>
          </cell>
        </row>
        <row r="121">
          <cell r="A121">
            <v>107</v>
          </cell>
          <cell r="B121" t="str">
            <v>Soap A</v>
          </cell>
          <cell r="C121">
            <v>2.2999999999999998</v>
          </cell>
          <cell r="D121">
            <v>2</v>
          </cell>
          <cell r="E121">
            <v>1</v>
          </cell>
          <cell r="F121">
            <v>1</v>
          </cell>
          <cell r="G121">
            <v>2</v>
          </cell>
          <cell r="H121">
            <v>6</v>
          </cell>
          <cell r="I121">
            <v>-1.6135832125212926</v>
          </cell>
          <cell r="J121">
            <v>-0.98488418593067284</v>
          </cell>
          <cell r="K121">
            <v>1.1456030314847414</v>
          </cell>
          <cell r="P121">
            <v>3</v>
          </cell>
          <cell r="Q121">
            <v>2.5999999999999996</v>
          </cell>
        </row>
        <row r="122">
          <cell r="A122">
            <v>108</v>
          </cell>
          <cell r="B122" t="str">
            <v>Soap B</v>
          </cell>
          <cell r="C122">
            <v>3</v>
          </cell>
          <cell r="D122">
            <v>7</v>
          </cell>
          <cell r="E122">
            <v>1.5</v>
          </cell>
          <cell r="F122">
            <v>7</v>
          </cell>
          <cell r="G122">
            <v>4</v>
          </cell>
          <cell r="H122">
            <v>3</v>
          </cell>
          <cell r="I122">
            <v>1.5510065782406881</v>
          </cell>
          <cell r="J122">
            <v>6.6847342936471071E-2</v>
          </cell>
          <cell r="K122">
            <v>-0.50967645074219126</v>
          </cell>
          <cell r="P122">
            <v>1</v>
          </cell>
          <cell r="Q122">
            <v>10.5</v>
          </cell>
        </row>
        <row r="123">
          <cell r="A123">
            <v>109</v>
          </cell>
          <cell r="B123" t="str">
            <v>Soap B</v>
          </cell>
          <cell r="C123">
            <v>3.5</v>
          </cell>
          <cell r="D123">
            <v>2</v>
          </cell>
          <cell r="E123">
            <v>1.5</v>
          </cell>
          <cell r="F123">
            <v>3</v>
          </cell>
          <cell r="G123">
            <v>3</v>
          </cell>
          <cell r="H123">
            <v>6</v>
          </cell>
          <cell r="I123">
            <v>-0.5587199489339657</v>
          </cell>
          <cell r="J123">
            <v>-0.45901842149710087</v>
          </cell>
          <cell r="K123">
            <v>1.1456030314847414</v>
          </cell>
          <cell r="P123">
            <v>3</v>
          </cell>
          <cell r="Q123">
            <v>4</v>
          </cell>
        </row>
        <row r="124">
          <cell r="A124">
            <v>110</v>
          </cell>
          <cell r="B124" t="str">
            <v>Soap B</v>
          </cell>
          <cell r="C124">
            <v>3.5</v>
          </cell>
          <cell r="D124">
            <v>1</v>
          </cell>
          <cell r="E124">
            <v>1.5</v>
          </cell>
          <cell r="F124">
            <v>2</v>
          </cell>
          <cell r="G124">
            <v>2</v>
          </cell>
          <cell r="H124">
            <v>5</v>
          </cell>
          <cell r="I124">
            <v>-1.0861515807276292</v>
          </cell>
          <cell r="J124">
            <v>-0.98488418593067284</v>
          </cell>
          <cell r="K124">
            <v>0.59384320407576385</v>
          </cell>
          <cell r="P124">
            <v>3</v>
          </cell>
          <cell r="Q124">
            <v>2</v>
          </cell>
        </row>
        <row r="125">
          <cell r="A125">
            <v>111</v>
          </cell>
          <cell r="B125" t="str">
            <v>Soap B</v>
          </cell>
          <cell r="C125">
            <v>3</v>
          </cell>
          <cell r="D125">
            <v>7</v>
          </cell>
          <cell r="E125">
            <v>1.5</v>
          </cell>
          <cell r="F125">
            <v>7</v>
          </cell>
          <cell r="G125">
            <v>3</v>
          </cell>
          <cell r="H125">
            <v>2</v>
          </cell>
          <cell r="I125">
            <v>1.5510065782406881</v>
          </cell>
          <cell r="J125">
            <v>-0.45901842149710087</v>
          </cell>
          <cell r="K125">
            <v>-1.0614362781511688</v>
          </cell>
          <cell r="P125">
            <v>1</v>
          </cell>
          <cell r="Q125">
            <v>10.5</v>
          </cell>
        </row>
        <row r="126">
          <cell r="A126">
            <v>112</v>
          </cell>
          <cell r="B126" t="str">
            <v>Soap A</v>
          </cell>
          <cell r="C126">
            <v>2.2999999999999998</v>
          </cell>
          <cell r="D126">
            <v>4</v>
          </cell>
          <cell r="E126">
            <v>1</v>
          </cell>
          <cell r="F126">
            <v>5</v>
          </cell>
          <cell r="G126">
            <v>7</v>
          </cell>
          <cell r="H126">
            <v>3</v>
          </cell>
          <cell r="I126">
            <v>0.49614331465336126</v>
          </cell>
          <cell r="J126">
            <v>1.644444636237187</v>
          </cell>
          <cell r="K126">
            <v>-0.50967645074219126</v>
          </cell>
          <cell r="P126">
            <v>2</v>
          </cell>
          <cell r="Q126">
            <v>5.1999999999999993</v>
          </cell>
        </row>
        <row r="127">
          <cell r="A127">
            <v>113</v>
          </cell>
          <cell r="B127" t="str">
            <v>Soap A</v>
          </cell>
          <cell r="C127">
            <v>2</v>
          </cell>
          <cell r="D127">
            <v>8</v>
          </cell>
          <cell r="E127">
            <v>1</v>
          </cell>
          <cell r="F127">
            <v>5</v>
          </cell>
          <cell r="G127">
            <v>3</v>
          </cell>
          <cell r="H127">
            <v>2</v>
          </cell>
          <cell r="I127">
            <v>0.49614331465336126</v>
          </cell>
          <cell r="J127">
            <v>-0.45901842149710087</v>
          </cell>
          <cell r="K127">
            <v>-1.0614362781511688</v>
          </cell>
          <cell r="P127">
            <v>1</v>
          </cell>
          <cell r="Q127">
            <v>8</v>
          </cell>
        </row>
        <row r="128">
          <cell r="A128">
            <v>114</v>
          </cell>
          <cell r="B128" t="str">
            <v>Soap A</v>
          </cell>
          <cell r="C128">
            <v>2.2999999999999998</v>
          </cell>
          <cell r="D128">
            <v>6</v>
          </cell>
          <cell r="E128">
            <v>1</v>
          </cell>
          <cell r="F128">
            <v>3</v>
          </cell>
          <cell r="G128">
            <v>7</v>
          </cell>
          <cell r="H128">
            <v>5</v>
          </cell>
          <cell r="I128">
            <v>-0.5587199489339657</v>
          </cell>
          <cell r="J128">
            <v>1.644444636237187</v>
          </cell>
          <cell r="K128">
            <v>0.59384320407576385</v>
          </cell>
          <cell r="P128">
            <v>2</v>
          </cell>
          <cell r="Q128">
            <v>7.7999999999999989</v>
          </cell>
        </row>
        <row r="129">
          <cell r="A129">
            <v>115</v>
          </cell>
          <cell r="B129" t="str">
            <v>Soap B</v>
          </cell>
          <cell r="C129">
            <v>2.5</v>
          </cell>
          <cell r="D129">
            <v>8</v>
          </cell>
          <cell r="E129">
            <v>1.5</v>
          </cell>
          <cell r="F129">
            <v>5</v>
          </cell>
          <cell r="G129">
            <v>5</v>
          </cell>
          <cell r="H129">
            <v>1</v>
          </cell>
          <cell r="I129">
            <v>0.49614331465336126</v>
          </cell>
          <cell r="J129">
            <v>0.59271310737004301</v>
          </cell>
          <cell r="K129">
            <v>-1.6131961055601465</v>
          </cell>
          <cell r="P129">
            <v>1</v>
          </cell>
          <cell r="Q129">
            <v>8</v>
          </cell>
        </row>
        <row r="130">
          <cell r="A130">
            <v>116</v>
          </cell>
          <cell r="B130" t="str">
            <v>Soap B</v>
          </cell>
          <cell r="C130">
            <v>3.5</v>
          </cell>
          <cell r="D130">
            <v>2</v>
          </cell>
          <cell r="E130">
            <v>1.5</v>
          </cell>
          <cell r="F130">
            <v>1</v>
          </cell>
          <cell r="G130">
            <v>3</v>
          </cell>
          <cell r="H130">
            <v>6</v>
          </cell>
          <cell r="I130">
            <v>-1.6135832125212926</v>
          </cell>
          <cell r="J130">
            <v>-0.45901842149710087</v>
          </cell>
          <cell r="K130">
            <v>1.1456030314847414</v>
          </cell>
          <cell r="P130">
            <v>3</v>
          </cell>
          <cell r="Q130">
            <v>4</v>
          </cell>
        </row>
        <row r="131">
          <cell r="A131">
            <v>117</v>
          </cell>
          <cell r="B131" t="str">
            <v>Soap B</v>
          </cell>
          <cell r="C131">
            <v>2.5</v>
          </cell>
          <cell r="D131">
            <v>9</v>
          </cell>
          <cell r="E131">
            <v>1.5</v>
          </cell>
          <cell r="F131">
            <v>6</v>
          </cell>
          <cell r="G131">
            <v>4</v>
          </cell>
          <cell r="H131">
            <v>2</v>
          </cell>
          <cell r="I131">
            <v>1.0235749464470247</v>
          </cell>
          <cell r="J131">
            <v>6.6847342936471071E-2</v>
          </cell>
          <cell r="K131">
            <v>-1.0614362781511688</v>
          </cell>
          <cell r="P131">
            <v>1</v>
          </cell>
          <cell r="Q131">
            <v>9</v>
          </cell>
        </row>
        <row r="132">
          <cell r="A132">
            <v>118</v>
          </cell>
          <cell r="B132" t="str">
            <v>Soap B</v>
          </cell>
          <cell r="C132">
            <v>3</v>
          </cell>
          <cell r="D132">
            <v>7</v>
          </cell>
          <cell r="E132">
            <v>1.5</v>
          </cell>
          <cell r="F132">
            <v>5</v>
          </cell>
          <cell r="G132">
            <v>3</v>
          </cell>
          <cell r="H132">
            <v>2</v>
          </cell>
          <cell r="I132">
            <v>0.49614331465336126</v>
          </cell>
          <cell r="J132">
            <v>-0.45901842149710087</v>
          </cell>
          <cell r="K132">
            <v>-1.0614362781511688</v>
          </cell>
          <cell r="P132">
            <v>1</v>
          </cell>
          <cell r="Q132">
            <v>10.5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11">
          <cell r="J11">
            <v>2</v>
          </cell>
          <cell r="K11">
            <v>2</v>
          </cell>
          <cell r="L11">
            <v>4</v>
          </cell>
        </row>
        <row r="12">
          <cell r="J12">
            <v>1</v>
          </cell>
          <cell r="K12">
            <v>4</v>
          </cell>
          <cell r="L12">
            <v>3</v>
          </cell>
        </row>
        <row r="13">
          <cell r="J13">
            <v>4</v>
          </cell>
          <cell r="K13">
            <v>1</v>
          </cell>
          <cell r="L13">
            <v>3</v>
          </cell>
        </row>
        <row r="14">
          <cell r="J14">
            <v>1</v>
          </cell>
          <cell r="K14">
            <v>3</v>
          </cell>
          <cell r="L14">
            <v>3</v>
          </cell>
        </row>
        <row r="15">
          <cell r="J15">
            <v>3</v>
          </cell>
          <cell r="K15">
            <v>1</v>
          </cell>
          <cell r="L15">
            <v>4</v>
          </cell>
        </row>
        <row r="16">
          <cell r="J16">
            <v>2</v>
          </cell>
          <cell r="K16">
            <v>4</v>
          </cell>
          <cell r="L16">
            <v>3</v>
          </cell>
        </row>
        <row r="17">
          <cell r="J17">
            <v>3</v>
          </cell>
          <cell r="K17">
            <v>1</v>
          </cell>
          <cell r="L17">
            <v>1</v>
          </cell>
        </row>
        <row r="18">
          <cell r="J18">
            <v>2</v>
          </cell>
          <cell r="K18">
            <v>1</v>
          </cell>
          <cell r="L18">
            <v>1</v>
          </cell>
        </row>
        <row r="19">
          <cell r="J19">
            <v>3</v>
          </cell>
          <cell r="K19">
            <v>4</v>
          </cell>
          <cell r="L19">
            <v>4</v>
          </cell>
        </row>
        <row r="20">
          <cell r="J20">
            <v>4</v>
          </cell>
          <cell r="K20">
            <v>1</v>
          </cell>
          <cell r="L20">
            <v>1</v>
          </cell>
        </row>
        <row r="21">
          <cell r="J21">
            <v>1</v>
          </cell>
          <cell r="K21">
            <v>3</v>
          </cell>
          <cell r="L21">
            <v>2</v>
          </cell>
        </row>
        <row r="22">
          <cell r="J22">
            <v>3</v>
          </cell>
          <cell r="K22">
            <v>2</v>
          </cell>
          <cell r="L22">
            <v>2</v>
          </cell>
        </row>
        <row r="23">
          <cell r="J23">
            <v>2</v>
          </cell>
          <cell r="K23">
            <v>3</v>
          </cell>
          <cell r="L23">
            <v>2</v>
          </cell>
        </row>
        <row r="24">
          <cell r="J24">
            <v>4</v>
          </cell>
          <cell r="K24">
            <v>1</v>
          </cell>
          <cell r="L24">
            <v>1</v>
          </cell>
        </row>
        <row r="25">
          <cell r="J25">
            <v>1</v>
          </cell>
          <cell r="K25">
            <v>4</v>
          </cell>
          <cell r="L25">
            <v>4</v>
          </cell>
        </row>
        <row r="26">
          <cell r="J26">
            <v>4</v>
          </cell>
          <cell r="K26">
            <v>2</v>
          </cell>
          <cell r="L26">
            <v>2</v>
          </cell>
        </row>
        <row r="27">
          <cell r="J27">
            <v>3</v>
          </cell>
          <cell r="K27">
            <v>3</v>
          </cell>
          <cell r="L27">
            <v>2</v>
          </cell>
        </row>
        <row r="28">
          <cell r="J28">
            <v>1</v>
          </cell>
          <cell r="K28">
            <v>4</v>
          </cell>
          <cell r="L28">
            <v>3</v>
          </cell>
        </row>
        <row r="29">
          <cell r="J29">
            <v>3</v>
          </cell>
          <cell r="K29">
            <v>1</v>
          </cell>
          <cell r="L29">
            <v>1</v>
          </cell>
        </row>
        <row r="30">
          <cell r="J30">
            <v>2</v>
          </cell>
          <cell r="K30">
            <v>3</v>
          </cell>
          <cell r="L30">
            <v>4</v>
          </cell>
        </row>
      </sheetData>
      <sheetData sheetId="23"/>
      <sheetData sheetId="24"/>
      <sheetData sheetId="25">
        <row r="11">
          <cell r="A11">
            <v>1</v>
          </cell>
          <cell r="B11" t="str">
            <v>Bergstad's Supply</v>
          </cell>
          <cell r="C11">
            <v>2</v>
          </cell>
          <cell r="D11">
            <v>2</v>
          </cell>
          <cell r="E11">
            <v>4</v>
          </cell>
          <cell r="F11">
            <v>43073</v>
          </cell>
          <cell r="G11">
            <v>10</v>
          </cell>
          <cell r="H11">
            <v>37600</v>
          </cell>
          <cell r="I11">
            <v>8.1673271795001714</v>
          </cell>
          <cell r="J11">
            <v>5.6415241282893591</v>
          </cell>
          <cell r="K11">
            <v>9.8567536554873332</v>
          </cell>
          <cell r="L11">
            <v>5.8522509615079983</v>
          </cell>
          <cell r="M11">
            <v>0.520715112196803</v>
          </cell>
          <cell r="N11">
            <v>-0.31008832924514818</v>
          </cell>
          <cell r="O11">
            <v>0.90520918173801346</v>
          </cell>
          <cell r="P11">
            <v>1.0872537158820748</v>
          </cell>
          <cell r="Q11">
            <v>-0.63054064243295993</v>
          </cell>
          <cell r="R11">
            <v>1.1774436514114761</v>
          </cell>
          <cell r="S11">
            <v>-0.50437783626809851</v>
          </cell>
        </row>
        <row r="12">
          <cell r="A12">
            <v>2</v>
          </cell>
          <cell r="B12" t="str">
            <v>Blum's Goods</v>
          </cell>
          <cell r="C12">
            <v>1</v>
          </cell>
          <cell r="D12">
            <v>4</v>
          </cell>
          <cell r="E12">
            <v>3</v>
          </cell>
          <cell r="F12">
            <v>43086</v>
          </cell>
          <cell r="G12">
            <v>41</v>
          </cell>
          <cell r="H12">
            <v>37517</v>
          </cell>
          <cell r="I12">
            <v>8.8434785824764575</v>
          </cell>
          <cell r="J12">
            <v>7.7544299816348667</v>
          </cell>
          <cell r="K12">
            <v>7.3109959012078534</v>
          </cell>
          <cell r="L12">
            <v>6.5628217875697548</v>
          </cell>
          <cell r="M12">
            <v>0.83630002867975672</v>
          </cell>
          <cell r="N12">
            <v>3.0046489833754015</v>
          </cell>
          <cell r="O12">
            <v>0.90013510497185023</v>
          </cell>
          <cell r="P12">
            <v>1.5290201368288177</v>
          </cell>
          <cell r="Q12">
            <v>0.41104886405185215</v>
          </cell>
          <cell r="R12">
            <v>-9.0002897795385423E-2</v>
          </cell>
          <cell r="S12">
            <v>-0.13462018928255451</v>
          </cell>
        </row>
        <row r="13">
          <cell r="A13">
            <v>3</v>
          </cell>
          <cell r="B13" t="str">
            <v>Cherry Creek Inc</v>
          </cell>
          <cell r="C13">
            <v>4</v>
          </cell>
          <cell r="D13">
            <v>1</v>
          </cell>
          <cell r="E13">
            <v>3</v>
          </cell>
          <cell r="F13">
            <v>42996</v>
          </cell>
          <cell r="G13">
            <v>5</v>
          </cell>
          <cell r="H13">
            <v>37553</v>
          </cell>
          <cell r="I13">
            <v>4.9191620645845218</v>
          </cell>
          <cell r="J13">
            <v>5.14565395311564</v>
          </cell>
          <cell r="K13">
            <v>9.1969779833493899</v>
          </cell>
          <cell r="L13">
            <v>5.837503454096038</v>
          </cell>
          <cell r="M13">
            <v>-1.3485186238945384</v>
          </cell>
          <cell r="N13">
            <v>-0.84472337966781741</v>
          </cell>
          <cell r="O13">
            <v>0.90233590935235475</v>
          </cell>
          <cell r="P13">
            <v>-1.0349489019695932</v>
          </cell>
          <cell r="Q13">
            <v>-0.8749874880990518</v>
          </cell>
          <cell r="R13">
            <v>0.84896369392292459</v>
          </cell>
          <cell r="S13">
            <v>-0.51205195324496744</v>
          </cell>
        </row>
        <row r="14">
          <cell r="A14">
            <v>4</v>
          </cell>
          <cell r="B14" t="str">
            <v>Consolidated Holdings</v>
          </cell>
          <cell r="C14">
            <v>1</v>
          </cell>
          <cell r="D14">
            <v>3</v>
          </cell>
          <cell r="E14">
            <v>3</v>
          </cell>
          <cell r="F14">
            <v>43085</v>
          </cell>
          <cell r="G14">
            <v>11</v>
          </cell>
          <cell r="H14">
            <v>37587</v>
          </cell>
          <cell r="I14">
            <v>4.584487981346574</v>
          </cell>
          <cell r="J14">
            <v>9.428789123717543</v>
          </cell>
          <cell r="K14">
            <v>5.4848904606311795</v>
          </cell>
          <cell r="L14">
            <v>4.3510805698945774</v>
          </cell>
          <cell r="M14">
            <v>0.81202426587337562</v>
          </cell>
          <cell r="N14">
            <v>-0.20316131916061436</v>
          </cell>
          <cell r="O14">
            <v>0.90441444682283123</v>
          </cell>
          <cell r="P14">
            <v>-1.2536096505606091</v>
          </cell>
          <cell r="Q14">
            <v>1.2364500099282016</v>
          </cell>
          <cell r="R14">
            <v>-0.99915893797873201</v>
          </cell>
          <cell r="S14">
            <v>-1.2855374495943912</v>
          </cell>
        </row>
        <row r="15">
          <cell r="A15">
            <v>5</v>
          </cell>
          <cell r="B15" t="str">
            <v>Dollarwise Corp</v>
          </cell>
          <cell r="C15">
            <v>3</v>
          </cell>
          <cell r="D15">
            <v>1</v>
          </cell>
          <cell r="E15">
            <v>4</v>
          </cell>
          <cell r="F15">
            <v>43053</v>
          </cell>
          <cell r="G15">
            <v>7</v>
          </cell>
          <cell r="H15">
            <v>37590</v>
          </cell>
          <cell r="I15">
            <v>4.5964874397234921</v>
          </cell>
          <cell r="J15">
            <v>4.5268592636652016</v>
          </cell>
          <cell r="K15">
            <v>5.52203981805566</v>
          </cell>
          <cell r="L15">
            <v>9.6267552801836231</v>
          </cell>
          <cell r="M15">
            <v>3.5199856069181877E-2</v>
          </cell>
          <cell r="N15">
            <v>-0.63086935949874978</v>
          </cell>
          <cell r="O15">
            <v>0.90459784718787328</v>
          </cell>
          <cell r="P15">
            <v>-1.2457697529324496</v>
          </cell>
          <cell r="Q15">
            <v>-1.1800318677052593</v>
          </cell>
          <cell r="R15">
            <v>-0.98066353133850492</v>
          </cell>
          <cell r="S15">
            <v>1.4597498540643148</v>
          </cell>
        </row>
        <row r="16">
          <cell r="A16">
            <v>6</v>
          </cell>
          <cell r="B16" t="str">
            <v>Dunn's Holdings</v>
          </cell>
          <cell r="C16">
            <v>2</v>
          </cell>
          <cell r="D16">
            <v>4</v>
          </cell>
          <cell r="E16">
            <v>3</v>
          </cell>
          <cell r="F16">
            <v>43076</v>
          </cell>
          <cell r="G16">
            <v>24</v>
          </cell>
          <cell r="H16">
            <v>37581</v>
          </cell>
          <cell r="I16">
            <v>5.1983815304005727</v>
          </cell>
          <cell r="J16">
            <v>6.406262969448365</v>
          </cell>
          <cell r="K16">
            <v>4.0821564815855913</v>
          </cell>
          <cell r="L16">
            <v>5.411725752866551</v>
          </cell>
          <cell r="M16">
            <v>0.59354240061594621</v>
          </cell>
          <cell r="N16">
            <v>1.1868898119383258</v>
          </cell>
          <cell r="O16">
            <v>0.90404764609274724</v>
          </cell>
          <cell r="P16">
            <v>-0.85251966566355775</v>
          </cell>
          <cell r="Q16">
            <v>-0.25355084381445842</v>
          </cell>
          <cell r="R16">
            <v>-1.6975326690251618</v>
          </cell>
          <cell r="S16">
            <v>-0.73361264103465473</v>
          </cell>
        </row>
        <row r="17">
          <cell r="A17">
            <v>7</v>
          </cell>
          <cell r="B17" t="str">
            <v>Empire Trading</v>
          </cell>
          <cell r="C17">
            <v>3</v>
          </cell>
          <cell r="D17">
            <v>1</v>
          </cell>
          <cell r="E17">
            <v>1</v>
          </cell>
          <cell r="F17">
            <v>43032</v>
          </cell>
          <cell r="G17">
            <v>3</v>
          </cell>
          <cell r="H17">
            <v>3172</v>
          </cell>
          <cell r="I17">
            <v>4.7140291888327646</v>
          </cell>
          <cell r="J17">
            <v>7.9356016200483834</v>
          </cell>
          <cell r="K17">
            <v>8.5212457098514527</v>
          </cell>
          <cell r="L17">
            <v>6.9001140897335747</v>
          </cell>
          <cell r="M17">
            <v>-0.47459116286482028</v>
          </cell>
          <cell r="N17">
            <v>-1.0585773998368853</v>
          </cell>
          <cell r="O17">
            <v>-1.1994934074844765</v>
          </cell>
          <cell r="P17">
            <v>-1.1689733467026391</v>
          </cell>
          <cell r="Q17">
            <v>0.50036021559427313</v>
          </cell>
          <cell r="R17">
            <v>0.51253948514149317</v>
          </cell>
          <cell r="S17">
            <v>4.0895612126933538E-2</v>
          </cell>
        </row>
        <row r="18">
          <cell r="A18">
            <v>8</v>
          </cell>
          <cell r="B18" t="str">
            <v>Fraser Distributors</v>
          </cell>
          <cell r="C18">
            <v>2</v>
          </cell>
          <cell r="D18">
            <v>1</v>
          </cell>
          <cell r="E18">
            <v>1</v>
          </cell>
          <cell r="F18">
            <v>43069</v>
          </cell>
          <cell r="G18">
            <v>7</v>
          </cell>
          <cell r="H18">
            <v>1832</v>
          </cell>
          <cell r="I18">
            <v>4.7388254081855097</v>
          </cell>
          <cell r="J18">
            <v>4.6733421826995363</v>
          </cell>
          <cell r="K18">
            <v>7.0256381986670799</v>
          </cell>
          <cell r="L18">
            <v>4.1910765018189471</v>
          </cell>
          <cell r="M18">
            <v>0.42361206097127879</v>
          </cell>
          <cell r="N18">
            <v>-0.63086935949874978</v>
          </cell>
          <cell r="O18">
            <v>-1.2814122372032559</v>
          </cell>
          <cell r="P18">
            <v>-1.1527726303715709</v>
          </cell>
          <cell r="Q18">
            <v>-1.1078208550357431</v>
          </cell>
          <cell r="R18">
            <v>-0.23207283149858871</v>
          </cell>
          <cell r="S18">
            <v>-1.3687982950299704</v>
          </cell>
        </row>
        <row r="19">
          <cell r="A19">
            <v>9</v>
          </cell>
          <cell r="B19" t="str">
            <v>Gorham Street Corp</v>
          </cell>
          <cell r="C19">
            <v>3</v>
          </cell>
          <cell r="D19">
            <v>4</v>
          </cell>
          <cell r="E19">
            <v>4</v>
          </cell>
          <cell r="F19">
            <v>43060</v>
          </cell>
          <cell r="G19">
            <v>20</v>
          </cell>
          <cell r="H19">
            <v>37613</v>
          </cell>
          <cell r="I19">
            <v>5.7235233991612171</v>
          </cell>
          <cell r="J19">
            <v>5.1967198254429485</v>
          </cell>
          <cell r="K19">
            <v>8.1889303437858683</v>
          </cell>
          <cell r="L19">
            <v>6.9174210216651719</v>
          </cell>
          <cell r="M19">
            <v>0.20513019571384927</v>
          </cell>
          <cell r="N19">
            <v>0.75918177160019029</v>
          </cell>
          <cell r="O19">
            <v>0.90600391665319568</v>
          </cell>
          <cell r="P19">
            <v>-0.50941597197823918</v>
          </cell>
          <cell r="Q19">
            <v>-0.84981377926039303</v>
          </cell>
          <cell r="R19">
            <v>0.34709092144362907</v>
          </cell>
          <cell r="S19">
            <v>4.990156929947049E-2</v>
          </cell>
        </row>
        <row r="20">
          <cell r="A20">
            <v>10</v>
          </cell>
          <cell r="B20" t="str">
            <v>Hanover Supply</v>
          </cell>
          <cell r="C20">
            <v>4</v>
          </cell>
          <cell r="D20">
            <v>1</v>
          </cell>
          <cell r="E20">
            <v>1</v>
          </cell>
          <cell r="F20">
            <v>43013</v>
          </cell>
          <cell r="G20">
            <v>7</v>
          </cell>
          <cell r="H20">
            <v>1941</v>
          </cell>
          <cell r="I20">
            <v>7.7369194652166451</v>
          </cell>
          <cell r="J20">
            <v>9.3871495110063599</v>
          </cell>
          <cell r="K20">
            <v>7.4244373061768103</v>
          </cell>
          <cell r="L20">
            <v>7.7590389059401792</v>
          </cell>
          <cell r="M20">
            <v>-0.93583065618606032</v>
          </cell>
          <cell r="N20">
            <v>-0.63086935949874978</v>
          </cell>
          <cell r="O20">
            <v>-1.2747486906067282</v>
          </cell>
          <cell r="P20">
            <v>0.80604498859119866</v>
          </cell>
          <cell r="Q20">
            <v>1.2159231210536279</v>
          </cell>
          <cell r="R20">
            <v>-3.3524265049051483E-2</v>
          </cell>
          <cell r="S20">
            <v>0.48785178782340444</v>
          </cell>
        </row>
        <row r="21">
          <cell r="A21">
            <v>11</v>
          </cell>
          <cell r="B21" t="str">
            <v>Highbridge Marketing</v>
          </cell>
          <cell r="C21">
            <v>1</v>
          </cell>
          <cell r="D21">
            <v>3</v>
          </cell>
          <cell r="E21">
            <v>2</v>
          </cell>
          <cell r="F21">
            <v>43092</v>
          </cell>
          <cell r="G21">
            <v>12</v>
          </cell>
          <cell r="H21">
            <v>14220</v>
          </cell>
          <cell r="I21">
            <v>7.7646179130513646</v>
          </cell>
          <cell r="J21">
            <v>4.8692503535100542</v>
          </cell>
          <cell r="K21">
            <v>7.5031105505289197</v>
          </cell>
          <cell r="L21">
            <v>4.4935545794001719</v>
          </cell>
          <cell r="M21">
            <v>0.98195460551804303</v>
          </cell>
          <cell r="N21">
            <v>-9.6234309076080507E-2</v>
          </cell>
          <cell r="O21">
            <v>-0.52409099648964463</v>
          </cell>
          <cell r="P21">
            <v>0.82414188835634383</v>
          </cell>
          <cell r="Q21">
            <v>-1.0112449027150214</v>
          </cell>
          <cell r="R21">
            <v>5.6444782853712263E-3</v>
          </cell>
          <cell r="S21">
            <v>-1.2113986690827268</v>
          </cell>
        </row>
        <row r="22">
          <cell r="A22">
            <v>12</v>
          </cell>
          <cell r="B22" t="str">
            <v>Island Trading</v>
          </cell>
          <cell r="C22">
            <v>3</v>
          </cell>
          <cell r="D22">
            <v>2</v>
          </cell>
          <cell r="E22">
            <v>2</v>
          </cell>
          <cell r="F22">
            <v>43063</v>
          </cell>
          <cell r="G22">
            <v>10</v>
          </cell>
          <cell r="H22">
            <v>10036</v>
          </cell>
          <cell r="I22">
            <v>7.9094863782830815</v>
          </cell>
          <cell r="J22">
            <v>7.370132134768383</v>
          </cell>
          <cell r="K22">
            <v>4.6547140447890181</v>
          </cell>
          <cell r="L22">
            <v>9.7086059103075701</v>
          </cell>
          <cell r="M22">
            <v>0.27795748413299243</v>
          </cell>
          <cell r="N22">
            <v>-0.31008832924514818</v>
          </cell>
          <cell r="O22">
            <v>-0.77987337226828124</v>
          </cell>
          <cell r="P22">
            <v>0.91879232184173854</v>
          </cell>
          <cell r="Q22">
            <v>0.22160331728172741</v>
          </cell>
          <cell r="R22">
            <v>-1.41247565349233</v>
          </cell>
          <cell r="S22">
            <v>1.5023422252803607</v>
          </cell>
        </row>
        <row r="23">
          <cell r="A23">
            <v>13</v>
          </cell>
          <cell r="B23" t="str">
            <v>Kingsgate Goods</v>
          </cell>
          <cell r="C23">
            <v>2</v>
          </cell>
          <cell r="D23">
            <v>3</v>
          </cell>
          <cell r="E23">
            <v>2</v>
          </cell>
          <cell r="F23">
            <v>43070</v>
          </cell>
          <cell r="G23">
            <v>11</v>
          </cell>
          <cell r="H23">
            <v>30350</v>
          </cell>
          <cell r="I23">
            <v>7.6237152667299659</v>
          </cell>
          <cell r="J23">
            <v>9.907697795200237</v>
          </cell>
          <cell r="K23">
            <v>9.1500463585531708</v>
          </cell>
          <cell r="L23">
            <v>5.5542357224150614</v>
          </cell>
          <cell r="M23">
            <v>0.44788782377765984</v>
          </cell>
          <cell r="N23">
            <v>-0.20316131916061436</v>
          </cell>
          <cell r="O23">
            <v>0.4619916328864086</v>
          </cell>
          <cell r="P23">
            <v>0.73208253967595349</v>
          </cell>
          <cell r="Q23">
            <v>1.4725354209232684</v>
          </cell>
          <cell r="R23">
            <v>0.8255980277291769</v>
          </cell>
          <cell r="S23">
            <v>-0.65945514810141825</v>
          </cell>
        </row>
        <row r="24">
          <cell r="A24">
            <v>14</v>
          </cell>
          <cell r="B24" t="str">
            <v>Lillegard Drugs</v>
          </cell>
          <cell r="C24">
            <v>4</v>
          </cell>
          <cell r="D24">
            <v>1</v>
          </cell>
          <cell r="E24">
            <v>1</v>
          </cell>
          <cell r="F24">
            <v>42936</v>
          </cell>
          <cell r="G24">
            <v>3</v>
          </cell>
          <cell r="H24">
            <v>3155</v>
          </cell>
          <cell r="I24">
            <v>4.5101671687934539</v>
          </cell>
          <cell r="J24">
            <v>9.2200163563652566</v>
          </cell>
          <cell r="K24">
            <v>9.8871736950305138</v>
          </cell>
          <cell r="L24">
            <v>6.519103358156757</v>
          </cell>
          <cell r="M24">
            <v>-2.8050643922774015</v>
          </cell>
          <cell r="N24">
            <v>-1.0585773998368853</v>
          </cell>
          <cell r="O24">
            <v>-1.2005326762197146</v>
          </cell>
          <cell r="P24">
            <v>-1.3021674724018768</v>
          </cell>
          <cell r="Q24">
            <v>1.1335322564610397</v>
          </cell>
          <cell r="R24">
            <v>1.1925887586318813</v>
          </cell>
          <cell r="S24">
            <v>-0.15736981957521265</v>
          </cell>
        </row>
        <row r="25">
          <cell r="A25">
            <v>15</v>
          </cell>
          <cell r="B25" t="str">
            <v>Margot Marketing Inc.</v>
          </cell>
          <cell r="C25">
            <v>1</v>
          </cell>
          <cell r="D25">
            <v>4</v>
          </cell>
          <cell r="E25">
            <v>4</v>
          </cell>
          <cell r="F25">
            <v>43093</v>
          </cell>
          <cell r="G25">
            <v>25</v>
          </cell>
          <cell r="H25">
            <v>37614</v>
          </cell>
          <cell r="I25">
            <v>5.4097235119573135</v>
          </cell>
          <cell r="J25">
            <v>4.8643971725020716</v>
          </cell>
          <cell r="K25">
            <v>8.114628982250089</v>
          </cell>
          <cell r="L25">
            <v>5.1077199787633329</v>
          </cell>
          <cell r="M25">
            <v>1.006230368324424</v>
          </cell>
          <cell r="N25">
            <v>1.2938168220228596</v>
          </cell>
          <cell r="O25">
            <v>0.9060650501082097</v>
          </cell>
          <cell r="P25">
            <v>-0.71443847500545243</v>
          </cell>
          <cell r="Q25">
            <v>-1.0136373530946643</v>
          </cell>
          <cell r="R25">
            <v>0.31009879046746386</v>
          </cell>
          <cell r="S25">
            <v>-0.89180722991952854</v>
          </cell>
        </row>
        <row r="26">
          <cell r="A26">
            <v>16</v>
          </cell>
          <cell r="B26" t="str">
            <v>Oceanview LLC</v>
          </cell>
          <cell r="C26">
            <v>4</v>
          </cell>
          <cell r="D26">
            <v>2</v>
          </cell>
          <cell r="E26">
            <v>2</v>
          </cell>
          <cell r="F26">
            <v>42989</v>
          </cell>
          <cell r="G26">
            <v>8</v>
          </cell>
          <cell r="H26">
            <v>5050</v>
          </cell>
          <cell r="I26">
            <v>7.6239587988328044</v>
          </cell>
          <cell r="J26">
            <v>4.1820519766478581</v>
          </cell>
          <cell r="K26">
            <v>4.7823336981822475</v>
          </cell>
          <cell r="L26">
            <v>9.6640497791657918</v>
          </cell>
          <cell r="M26">
            <v>-1.5184489635392058</v>
          </cell>
          <cell r="N26">
            <v>-0.52394234941421591</v>
          </cell>
          <cell r="O26">
            <v>-1.0846847789681573</v>
          </cell>
          <cell r="P26">
            <v>0.73224165242049999</v>
          </cell>
          <cell r="Q26">
            <v>-1.3500099343323637</v>
          </cell>
          <cell r="R26">
            <v>-1.3489381511387315</v>
          </cell>
          <cell r="S26">
            <v>1.479156682607474</v>
          </cell>
        </row>
        <row r="27">
          <cell r="A27">
            <v>17</v>
          </cell>
          <cell r="B27" t="str">
            <v>Piccadilly</v>
          </cell>
          <cell r="C27">
            <v>3</v>
          </cell>
          <cell r="D27">
            <v>3</v>
          </cell>
          <cell r="E27">
            <v>2</v>
          </cell>
          <cell r="F27">
            <v>43046</v>
          </cell>
          <cell r="G27">
            <v>14</v>
          </cell>
          <cell r="H27">
            <v>8276</v>
          </cell>
          <cell r="I27">
            <v>7.7359519630039539</v>
          </cell>
          <cell r="J27">
            <v>9.8161799324668522</v>
          </cell>
          <cell r="K27">
            <v>4.4482692850391752</v>
          </cell>
          <cell r="L27">
            <v>6.1664626904715485</v>
          </cell>
          <cell r="M27">
            <v>-0.1347304835754855</v>
          </cell>
          <cell r="N27">
            <v>0.1176197110929872</v>
          </cell>
          <cell r="O27">
            <v>-0.88746825309294664</v>
          </cell>
          <cell r="P27">
            <v>0.80541286686834601</v>
          </cell>
          <cell r="Q27">
            <v>1.4274202799300821</v>
          </cell>
          <cell r="R27">
            <v>-1.5152575061281219</v>
          </cell>
          <cell r="S27">
            <v>-0.3408724047254808</v>
          </cell>
        </row>
        <row r="28">
          <cell r="A28">
            <v>18</v>
          </cell>
          <cell r="B28" t="str">
            <v>Quality Plus Drug Supply</v>
          </cell>
          <cell r="C28">
            <v>1</v>
          </cell>
          <cell r="D28">
            <v>4</v>
          </cell>
          <cell r="E28">
            <v>3</v>
          </cell>
          <cell r="F28">
            <v>43084</v>
          </cell>
          <cell r="G28">
            <v>20</v>
          </cell>
          <cell r="H28">
            <v>37571</v>
          </cell>
          <cell r="I28">
            <v>8.1176877548032138</v>
          </cell>
          <cell r="J28">
            <v>9.0821792817376501</v>
          </cell>
          <cell r="K28">
            <v>9.0122455194752344</v>
          </cell>
          <cell r="L28">
            <v>6.2923617355434027</v>
          </cell>
          <cell r="M28">
            <v>0.78774850306699462</v>
          </cell>
          <cell r="N28">
            <v>0.75918177160019029</v>
          </cell>
          <cell r="O28">
            <v>0.90343631154260706</v>
          </cell>
          <cell r="P28">
            <v>1.0548215847207654</v>
          </cell>
          <cell r="Q28">
            <v>1.065583346049648</v>
          </cell>
          <cell r="R28">
            <v>0.75699165790724832</v>
          </cell>
          <cell r="S28">
            <v>-0.27535868961631327</v>
          </cell>
        </row>
        <row r="29">
          <cell r="A29">
            <v>19</v>
          </cell>
          <cell r="B29" t="str">
            <v>Queen's Express Distribution</v>
          </cell>
          <cell r="C29">
            <v>3</v>
          </cell>
          <cell r="D29">
            <v>1</v>
          </cell>
          <cell r="E29">
            <v>1</v>
          </cell>
          <cell r="F29">
            <v>43032</v>
          </cell>
          <cell r="G29">
            <v>4</v>
          </cell>
          <cell r="H29">
            <v>1993</v>
          </cell>
          <cell r="I29">
            <v>6.7082460016191359</v>
          </cell>
          <cell r="J29">
            <v>5.6284067316423183</v>
          </cell>
          <cell r="K29">
            <v>9.8028299132439116</v>
          </cell>
          <cell r="L29">
            <v>9.7962643905730484</v>
          </cell>
          <cell r="M29">
            <v>-0.47459116286482028</v>
          </cell>
          <cell r="N29">
            <v>-0.95165038975235128</v>
          </cell>
          <cell r="O29">
            <v>-1.2715697509459996</v>
          </cell>
          <cell r="P29">
            <v>0.13395676643261933</v>
          </cell>
          <cell r="Q29">
            <v>-0.63700706528768547</v>
          </cell>
          <cell r="R29">
            <v>1.1505968467962866</v>
          </cell>
          <cell r="S29">
            <v>1.5479568103611097</v>
          </cell>
        </row>
        <row r="30">
          <cell r="A30">
            <v>20</v>
          </cell>
          <cell r="B30" t="str">
            <v>Valley Store Supply</v>
          </cell>
          <cell r="C30">
            <v>2</v>
          </cell>
          <cell r="D30">
            <v>3</v>
          </cell>
          <cell r="E30">
            <v>4</v>
          </cell>
          <cell r="F30">
            <v>43083</v>
          </cell>
          <cell r="G30">
            <v>16</v>
          </cell>
          <cell r="H30">
            <v>37607</v>
          </cell>
          <cell r="I30">
            <v>7.4381572390935125</v>
          </cell>
          <cell r="J30">
            <v>7.3753750649098038</v>
          </cell>
          <cell r="K30">
            <v>9.8660462746485535</v>
          </cell>
          <cell r="L30">
            <v>9.7183366544022718</v>
          </cell>
          <cell r="M30">
            <v>0.76347274026061351</v>
          </cell>
          <cell r="N30">
            <v>0.33147373126205487</v>
          </cell>
          <cell r="O30">
            <v>0.90563711592311158</v>
          </cell>
          <cell r="P30">
            <v>0.61084740596764142</v>
          </cell>
          <cell r="Q30">
            <v>0.22418790050387619</v>
          </cell>
          <cell r="R30">
            <v>1.1820701317076407</v>
          </cell>
          <cell r="S30">
            <v>1.5074057839122523</v>
          </cell>
        </row>
      </sheetData>
      <sheetData sheetId="26"/>
      <sheetData sheetId="27"/>
      <sheetData sheetId="28">
        <row r="32">
          <cell r="F32">
            <v>100000</v>
          </cell>
          <cell r="G32">
            <v>125.48760330578511</v>
          </cell>
          <cell r="H32">
            <v>122.66115702479338</v>
          </cell>
          <cell r="I32">
            <v>165.27479338842974</v>
          </cell>
          <cell r="J32">
            <v>7.2913223140495855</v>
          </cell>
          <cell r="K32">
            <v>106.62190082644628</v>
          </cell>
        </row>
        <row r="33">
          <cell r="F33">
            <v>125.48760330578511</v>
          </cell>
          <cell r="G33">
            <v>100000</v>
          </cell>
          <cell r="H33">
            <v>100.16528925619835</v>
          </cell>
          <cell r="I33">
            <v>58.291322314049587</v>
          </cell>
          <cell r="J33">
            <v>81.283057851239676</v>
          </cell>
          <cell r="K33">
            <v>61.621900826446279</v>
          </cell>
        </row>
        <row r="34">
          <cell r="F34">
            <v>122.66115702479338</v>
          </cell>
          <cell r="G34">
            <v>100.16528925619835</v>
          </cell>
          <cell r="H34">
            <v>100000</v>
          </cell>
          <cell r="I34">
            <v>87.621900826446279</v>
          </cell>
          <cell r="J34">
            <v>87.621900826446279</v>
          </cell>
          <cell r="K34">
            <v>14.291322314049587</v>
          </cell>
        </row>
        <row r="35">
          <cell r="F35">
            <v>165.27479338842974</v>
          </cell>
          <cell r="G35">
            <v>58.291322314049587</v>
          </cell>
          <cell r="H35">
            <v>87.621900826446279</v>
          </cell>
          <cell r="I35">
            <v>100000</v>
          </cell>
          <cell r="J35">
            <v>106.48760330578513</v>
          </cell>
          <cell r="K35">
            <v>67.661157024793397</v>
          </cell>
        </row>
        <row r="36">
          <cell r="F36">
            <v>7.2913223140495855</v>
          </cell>
          <cell r="G36">
            <v>81.283057851239676</v>
          </cell>
          <cell r="H36">
            <v>87.621900826446279</v>
          </cell>
          <cell r="I36">
            <v>106.48760330578513</v>
          </cell>
          <cell r="J36">
            <v>100000</v>
          </cell>
          <cell r="K36">
            <v>68.165289256198349</v>
          </cell>
        </row>
        <row r="37">
          <cell r="F37">
            <v>106.62190082644628</v>
          </cell>
          <cell r="G37">
            <v>61.621900826446279</v>
          </cell>
          <cell r="H37">
            <v>14.291322314049587</v>
          </cell>
          <cell r="I37">
            <v>67.661157024793397</v>
          </cell>
          <cell r="J37">
            <v>68.165289256198349</v>
          </cell>
          <cell r="K37">
            <v>100000</v>
          </cell>
        </row>
        <row r="41">
          <cell r="F41">
            <v>31</v>
          </cell>
          <cell r="G41">
            <v>27</v>
          </cell>
          <cell r="H41">
            <v>25</v>
          </cell>
          <cell r="I41">
            <v>29</v>
          </cell>
          <cell r="J41">
            <v>1</v>
          </cell>
          <cell r="K41">
            <v>23</v>
          </cell>
        </row>
        <row r="42">
          <cell r="F42">
            <v>27</v>
          </cell>
          <cell r="G42">
            <v>31</v>
          </cell>
          <cell r="H42">
            <v>19</v>
          </cell>
          <cell r="I42">
            <v>5</v>
          </cell>
          <cell r="J42">
            <v>13</v>
          </cell>
          <cell r="K42">
            <v>7</v>
          </cell>
        </row>
        <row r="43">
          <cell r="F43">
            <v>25</v>
          </cell>
          <cell r="G43">
            <v>19</v>
          </cell>
          <cell r="H43">
            <v>31</v>
          </cell>
          <cell r="I43">
            <v>15</v>
          </cell>
          <cell r="J43">
            <v>15</v>
          </cell>
          <cell r="K43">
            <v>3</v>
          </cell>
        </row>
        <row r="44">
          <cell r="F44">
            <v>29</v>
          </cell>
          <cell r="G44">
            <v>5</v>
          </cell>
          <cell r="H44">
            <v>15</v>
          </cell>
          <cell r="I44">
            <v>31</v>
          </cell>
          <cell r="J44">
            <v>21</v>
          </cell>
          <cell r="K44">
            <v>9</v>
          </cell>
        </row>
        <row r="45">
          <cell r="F45">
            <v>1</v>
          </cell>
          <cell r="G45">
            <v>13</v>
          </cell>
          <cell r="H45">
            <v>15</v>
          </cell>
          <cell r="I45">
            <v>21</v>
          </cell>
          <cell r="J45">
            <v>31</v>
          </cell>
          <cell r="K45">
            <v>11</v>
          </cell>
        </row>
        <row r="46">
          <cell r="F46">
            <v>23</v>
          </cell>
          <cell r="G46">
            <v>7</v>
          </cell>
          <cell r="H46">
            <v>3</v>
          </cell>
          <cell r="I46">
            <v>9</v>
          </cell>
          <cell r="J46">
            <v>11</v>
          </cell>
          <cell r="K46">
            <v>31</v>
          </cell>
        </row>
        <row r="51">
          <cell r="F51">
            <v>1000000</v>
          </cell>
          <cell r="G51">
            <v>2.1980354144507253</v>
          </cell>
          <cell r="H51">
            <v>2.9041903691422049E-2</v>
          </cell>
          <cell r="I51">
            <v>2.2756018266824776</v>
          </cell>
          <cell r="J51">
            <v>3.6883178085665207E-2</v>
          </cell>
          <cell r="K51">
            <v>1.9547599584796773</v>
          </cell>
        </row>
        <row r="52">
          <cell r="F52">
            <v>2.1980354144507253</v>
          </cell>
          <cell r="G52">
            <v>1000000</v>
          </cell>
          <cell r="H52">
            <v>1.7391566255465394</v>
          </cell>
          <cell r="I52">
            <v>1.1950951188496805E-3</v>
          </cell>
          <cell r="J52">
            <v>1.7606997103321507</v>
          </cell>
          <cell r="K52">
            <v>9.3378953561047365E-3</v>
          </cell>
        </row>
        <row r="53">
          <cell r="F53">
            <v>2.9041903691422049E-2</v>
          </cell>
          <cell r="G53">
            <v>1.7391566255465394</v>
          </cell>
          <cell r="H53">
            <v>1000000</v>
          </cell>
          <cell r="I53">
            <v>1.8102907346112564</v>
          </cell>
          <cell r="J53">
            <v>3.865582999006465E-3</v>
          </cell>
          <cell r="K53">
            <v>1.519875830973124</v>
          </cell>
        </row>
        <row r="54">
          <cell r="F54">
            <v>2.2756018266824776</v>
          </cell>
          <cell r="G54">
            <v>1.1950951188496805E-3</v>
          </cell>
          <cell r="H54">
            <v>1.8102907346112564</v>
          </cell>
          <cell r="I54">
            <v>1000000</v>
          </cell>
          <cell r="J54">
            <v>1.83493123662298</v>
          </cell>
          <cell r="K54">
            <v>1.702477716555411E-2</v>
          </cell>
        </row>
        <row r="55">
          <cell r="F55">
            <v>3.6883178085665207E-2</v>
          </cell>
          <cell r="G55">
            <v>1.7606997103321507</v>
          </cell>
          <cell r="H55">
            <v>3.865582999006465E-3</v>
          </cell>
          <cell r="I55">
            <v>1.83493123662298</v>
          </cell>
          <cell r="J55">
            <v>1000000</v>
          </cell>
          <cell r="K55">
            <v>1.5349762874779804</v>
          </cell>
        </row>
        <row r="56">
          <cell r="F56">
            <v>1.9547599584796773</v>
          </cell>
          <cell r="G56">
            <v>9.3378953561047365E-3</v>
          </cell>
          <cell r="H56">
            <v>1.519875830973124</v>
          </cell>
          <cell r="I56">
            <v>1.702477716555411E-2</v>
          </cell>
          <cell r="J56">
            <v>1.5349762874779804</v>
          </cell>
          <cell r="K56">
            <v>1000000</v>
          </cell>
        </row>
        <row r="60">
          <cell r="F60">
            <v>31</v>
          </cell>
          <cell r="G60">
            <v>27</v>
          </cell>
          <cell r="H60">
            <v>9</v>
          </cell>
          <cell r="I60">
            <v>29</v>
          </cell>
          <cell r="J60">
            <v>11</v>
          </cell>
          <cell r="K60">
            <v>25</v>
          </cell>
        </row>
        <row r="61">
          <cell r="F61">
            <v>27</v>
          </cell>
          <cell r="G61">
            <v>31</v>
          </cell>
          <cell r="H61">
            <v>17</v>
          </cell>
          <cell r="I61">
            <v>1</v>
          </cell>
          <cell r="J61">
            <v>19</v>
          </cell>
          <cell r="K61">
            <v>5</v>
          </cell>
        </row>
        <row r="62">
          <cell r="F62">
            <v>9</v>
          </cell>
          <cell r="G62">
            <v>17</v>
          </cell>
          <cell r="H62">
            <v>31</v>
          </cell>
          <cell r="I62">
            <v>21</v>
          </cell>
          <cell r="J62">
            <v>3</v>
          </cell>
          <cell r="K62">
            <v>13</v>
          </cell>
        </row>
        <row r="63">
          <cell r="F63">
            <v>29</v>
          </cell>
          <cell r="G63">
            <v>1</v>
          </cell>
          <cell r="H63">
            <v>21</v>
          </cell>
          <cell r="I63">
            <v>31</v>
          </cell>
          <cell r="J63">
            <v>23</v>
          </cell>
          <cell r="K63">
            <v>7</v>
          </cell>
        </row>
        <row r="64">
          <cell r="F64">
            <v>11</v>
          </cell>
          <cell r="G64">
            <v>19</v>
          </cell>
          <cell r="H64">
            <v>3</v>
          </cell>
          <cell r="I64">
            <v>23</v>
          </cell>
          <cell r="J64">
            <v>31</v>
          </cell>
          <cell r="K64">
            <v>15</v>
          </cell>
        </row>
        <row r="65">
          <cell r="F65">
            <v>25</v>
          </cell>
          <cell r="G65">
            <v>5</v>
          </cell>
          <cell r="H65">
            <v>13</v>
          </cell>
          <cell r="I65">
            <v>7</v>
          </cell>
          <cell r="J65">
            <v>15</v>
          </cell>
          <cell r="K65">
            <v>31</v>
          </cell>
        </row>
      </sheetData>
      <sheetData sheetId="29"/>
      <sheetData sheetId="30">
        <row r="25">
          <cell r="F25">
            <v>1000000</v>
          </cell>
          <cell r="G25">
            <v>190800</v>
          </cell>
          <cell r="H25">
            <v>92400</v>
          </cell>
          <cell r="I25">
            <v>153900</v>
          </cell>
          <cell r="J25">
            <v>67200</v>
          </cell>
          <cell r="K25">
            <v>54000</v>
          </cell>
        </row>
        <row r="26">
          <cell r="F26">
            <v>190800</v>
          </cell>
          <cell r="G26">
            <v>1000000</v>
          </cell>
          <cell r="H26">
            <v>98400</v>
          </cell>
          <cell r="I26">
            <v>36900</v>
          </cell>
          <cell r="J26">
            <v>258000</v>
          </cell>
          <cell r="K26">
            <v>244800</v>
          </cell>
        </row>
        <row r="27">
          <cell r="F27">
            <v>92400</v>
          </cell>
          <cell r="G27">
            <v>98400</v>
          </cell>
          <cell r="H27">
            <v>1000000</v>
          </cell>
          <cell r="I27">
            <v>61500</v>
          </cell>
          <cell r="J27">
            <v>159600</v>
          </cell>
          <cell r="K27">
            <v>146400</v>
          </cell>
        </row>
        <row r="28">
          <cell r="F28">
            <v>153900</v>
          </cell>
          <cell r="G28">
            <v>36900</v>
          </cell>
          <cell r="H28">
            <v>61500</v>
          </cell>
          <cell r="I28">
            <v>1000000</v>
          </cell>
          <cell r="J28">
            <v>221100</v>
          </cell>
          <cell r="K28">
            <v>207900</v>
          </cell>
        </row>
        <row r="29">
          <cell r="F29">
            <v>67200</v>
          </cell>
          <cell r="G29">
            <v>258000</v>
          </cell>
          <cell r="H29">
            <v>159600</v>
          </cell>
          <cell r="I29">
            <v>221100</v>
          </cell>
          <cell r="J29">
            <v>1000000</v>
          </cell>
          <cell r="K29">
            <v>13200</v>
          </cell>
        </row>
        <row r="30">
          <cell r="F30">
            <v>54000</v>
          </cell>
          <cell r="G30">
            <v>244800</v>
          </cell>
          <cell r="H30">
            <v>146400</v>
          </cell>
          <cell r="I30">
            <v>207900</v>
          </cell>
          <cell r="J30">
            <v>13200</v>
          </cell>
          <cell r="K30">
            <v>1000000</v>
          </cell>
        </row>
        <row r="33">
          <cell r="F33">
            <v>31</v>
          </cell>
          <cell r="G33">
            <v>21</v>
          </cell>
          <cell r="H33">
            <v>11</v>
          </cell>
          <cell r="I33">
            <v>17</v>
          </cell>
          <cell r="J33">
            <v>9</v>
          </cell>
          <cell r="K33">
            <v>5</v>
          </cell>
        </row>
        <row r="34">
          <cell r="F34">
            <v>21</v>
          </cell>
          <cell r="G34">
            <v>31</v>
          </cell>
          <cell r="H34">
            <v>13</v>
          </cell>
          <cell r="I34">
            <v>3</v>
          </cell>
          <cell r="J34">
            <v>29</v>
          </cell>
          <cell r="K34">
            <v>27</v>
          </cell>
        </row>
        <row r="35">
          <cell r="F35">
            <v>11</v>
          </cell>
          <cell r="G35">
            <v>13</v>
          </cell>
          <cell r="H35">
            <v>31</v>
          </cell>
          <cell r="I35">
            <v>7</v>
          </cell>
          <cell r="J35">
            <v>19</v>
          </cell>
          <cell r="K35">
            <v>15</v>
          </cell>
        </row>
        <row r="36">
          <cell r="F36">
            <v>17</v>
          </cell>
          <cell r="G36">
            <v>3</v>
          </cell>
          <cell r="H36">
            <v>7</v>
          </cell>
          <cell r="I36">
            <v>31</v>
          </cell>
          <cell r="J36">
            <v>25</v>
          </cell>
          <cell r="K36">
            <v>23</v>
          </cell>
        </row>
        <row r="37">
          <cell r="F37">
            <v>9</v>
          </cell>
          <cell r="G37">
            <v>29</v>
          </cell>
          <cell r="H37">
            <v>19</v>
          </cell>
          <cell r="I37">
            <v>25</v>
          </cell>
          <cell r="J37">
            <v>31</v>
          </cell>
          <cell r="K37">
            <v>1</v>
          </cell>
        </row>
        <row r="38">
          <cell r="F38">
            <v>5</v>
          </cell>
          <cell r="G38">
            <v>27</v>
          </cell>
          <cell r="H38">
            <v>15</v>
          </cell>
          <cell r="I38">
            <v>23</v>
          </cell>
          <cell r="J38">
            <v>1</v>
          </cell>
          <cell r="K38">
            <v>31</v>
          </cell>
        </row>
        <row r="42">
          <cell r="B42">
            <v>3.7230388367151441</v>
          </cell>
          <cell r="C42">
            <v>2.4192316731931074</v>
          </cell>
          <cell r="F42">
            <v>1000000</v>
          </cell>
          <cell r="G42">
            <v>5.7163877775688841</v>
          </cell>
          <cell r="H42">
            <v>1.5084944151768667</v>
          </cell>
          <cell r="I42">
            <v>3.8993795386341721</v>
          </cell>
          <cell r="J42">
            <v>0.89620963821208388</v>
          </cell>
          <cell r="K42">
            <v>0.5444953688404458</v>
          </cell>
        </row>
        <row r="43">
          <cell r="B43">
            <v>1.4540175230303893</v>
          </cell>
          <cell r="C43">
            <v>1.6656203306476325</v>
          </cell>
          <cell r="F43">
            <v>5.7163877775688841</v>
          </cell>
          <cell r="G43">
            <v>1000000</v>
          </cell>
          <cell r="H43">
            <v>1.3745783752095586</v>
          </cell>
          <cell r="I43">
            <v>0.33482933659413866</v>
          </cell>
          <cell r="J43">
            <v>10.926979264567732</v>
          </cell>
          <cell r="K43">
            <v>9.785150513821181</v>
          </cell>
        </row>
        <row r="44">
          <cell r="B44">
            <v>2.5959790616203118</v>
          </cell>
          <cell r="C44">
            <v>1.9311428712932353</v>
          </cell>
          <cell r="F44">
            <v>1.5084944151768667</v>
          </cell>
          <cell r="G44">
            <v>1.3745783752095586</v>
          </cell>
          <cell r="H44">
            <v>1000000</v>
          </cell>
          <cell r="I44">
            <v>0.5801511225595184</v>
          </cell>
          <cell r="J44">
            <v>4.5505442611994011</v>
          </cell>
          <cell r="K44">
            <v>3.864189590944112</v>
          </cell>
        </row>
        <row r="45">
          <cell r="B45">
            <v>1.9957431249293867</v>
          </cell>
          <cell r="C45">
            <v>1.4622420898220523</v>
          </cell>
          <cell r="F45">
            <v>1.5084944151768667</v>
          </cell>
          <cell r="G45">
            <v>0.33482933659413866</v>
          </cell>
          <cell r="H45">
            <v>0.5801511225595184</v>
          </cell>
          <cell r="I45">
            <v>1000000</v>
          </cell>
          <cell r="J45">
            <v>8.0894089315055773</v>
          </cell>
          <cell r="K45">
            <v>7.331048598599649</v>
          </cell>
        </row>
        <row r="46">
          <cell r="B46">
            <v>4.6696413817269162</v>
          </cell>
          <cell r="C46">
            <v>2.4316114950545011</v>
          </cell>
          <cell r="F46">
            <v>0.89620963821208388</v>
          </cell>
          <cell r="G46">
            <v>10.926979264567732</v>
          </cell>
          <cell r="H46">
            <v>4.5505442611994011</v>
          </cell>
          <cell r="I46">
            <v>8.0894089315055773</v>
          </cell>
          <cell r="J46">
            <v>1000000</v>
          </cell>
          <cell r="K46">
            <v>0.13142251947913838</v>
          </cell>
        </row>
        <row r="47">
          <cell r="B47">
            <v>4.4111224447454944</v>
          </cell>
          <cell r="C47">
            <v>2.6857580643823873</v>
          </cell>
          <cell r="F47">
            <v>0.5444953688404458</v>
          </cell>
          <cell r="G47">
            <v>9.785150513821181</v>
          </cell>
          <cell r="H47">
            <v>3.864189590944112</v>
          </cell>
          <cell r="I47">
            <v>7.331048598599649</v>
          </cell>
          <cell r="J47">
            <v>0.13142251947913838</v>
          </cell>
          <cell r="K47">
            <v>1000000</v>
          </cell>
        </row>
        <row r="51">
          <cell r="F51">
            <v>31</v>
          </cell>
          <cell r="G51">
            <v>21</v>
          </cell>
          <cell r="H51">
            <v>13</v>
          </cell>
          <cell r="I51">
            <v>18</v>
          </cell>
          <cell r="J51">
            <v>9</v>
          </cell>
          <cell r="K51">
            <v>5</v>
          </cell>
        </row>
        <row r="52">
          <cell r="F52">
            <v>21</v>
          </cell>
          <cell r="G52">
            <v>31</v>
          </cell>
          <cell r="H52">
            <v>11</v>
          </cell>
          <cell r="I52">
            <v>3</v>
          </cell>
          <cell r="J52">
            <v>29</v>
          </cell>
          <cell r="K52">
            <v>27</v>
          </cell>
        </row>
        <row r="53">
          <cell r="F53">
            <v>13</v>
          </cell>
          <cell r="G53">
            <v>11</v>
          </cell>
          <cell r="H53">
            <v>31</v>
          </cell>
          <cell r="I53">
            <v>7</v>
          </cell>
          <cell r="J53">
            <v>19</v>
          </cell>
          <cell r="K53">
            <v>16</v>
          </cell>
        </row>
        <row r="54">
          <cell r="F54">
            <v>13</v>
          </cell>
          <cell r="G54">
            <v>3</v>
          </cell>
          <cell r="H54">
            <v>7</v>
          </cell>
          <cell r="I54">
            <v>31</v>
          </cell>
          <cell r="J54">
            <v>25</v>
          </cell>
          <cell r="K54">
            <v>23</v>
          </cell>
        </row>
        <row r="55">
          <cell r="F55">
            <v>9</v>
          </cell>
          <cell r="G55">
            <v>29</v>
          </cell>
          <cell r="H55">
            <v>19</v>
          </cell>
          <cell r="I55">
            <v>25</v>
          </cell>
          <cell r="J55">
            <v>31</v>
          </cell>
          <cell r="K55">
            <v>1</v>
          </cell>
        </row>
        <row r="56">
          <cell r="F56">
            <v>5</v>
          </cell>
          <cell r="G56">
            <v>27</v>
          </cell>
          <cell r="H56">
            <v>16</v>
          </cell>
          <cell r="I56">
            <v>23</v>
          </cell>
          <cell r="J56">
            <v>1</v>
          </cell>
          <cell r="K56">
            <v>31</v>
          </cell>
        </row>
      </sheetData>
      <sheetData sheetId="31"/>
      <sheetData sheetId="32"/>
      <sheetData sheetId="33"/>
      <sheetData sheetId="34"/>
      <sheetData sheetId="3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initialization"/>
    </sheetNames>
    <sheetDataSet>
      <sheetData sheetId="0"/>
      <sheetData sheetId="1">
        <row r="3">
          <cell r="H3">
            <v>1</v>
          </cell>
          <cell r="I3">
            <v>0.88914901811009173</v>
          </cell>
        </row>
        <row r="4">
          <cell r="H4">
            <v>2</v>
          </cell>
          <cell r="I4">
            <v>0.87316243691740825</v>
          </cell>
        </row>
        <row r="5">
          <cell r="H5">
            <v>3</v>
          </cell>
          <cell r="I5">
            <v>0.96828148713370887</v>
          </cell>
        </row>
        <row r="6">
          <cell r="G6">
            <v>145475.01054455567</v>
          </cell>
          <cell r="H6">
            <v>4</v>
          </cell>
          <cell r="I6">
            <v>0.99184752819112798</v>
          </cell>
        </row>
        <row r="7">
          <cell r="H7">
            <v>5</v>
          </cell>
          <cell r="I7">
            <v>1.0217546343978547</v>
          </cell>
        </row>
        <row r="8">
          <cell r="H8">
            <v>6</v>
          </cell>
          <cell r="I8">
            <v>1.0146077245222471</v>
          </cell>
        </row>
        <row r="9">
          <cell r="H9">
            <v>7</v>
          </cell>
          <cell r="I9">
            <v>1.0122963533671319</v>
          </cell>
        </row>
        <row r="10">
          <cell r="H10">
            <v>8</v>
          </cell>
          <cell r="I10">
            <v>1.0056779435195013</v>
          </cell>
        </row>
        <row r="11">
          <cell r="H11">
            <v>9</v>
          </cell>
          <cell r="I11">
            <v>0.97302248313635975</v>
          </cell>
        </row>
        <row r="12">
          <cell r="H12">
            <v>10</v>
          </cell>
          <cell r="I12">
            <v>1.0038849547820325</v>
          </cell>
        </row>
        <row r="13">
          <cell r="H13">
            <v>11</v>
          </cell>
          <cell r="I13">
            <v>1.0125861742462181</v>
          </cell>
        </row>
        <row r="14">
          <cell r="H14">
            <v>12</v>
          </cell>
          <cell r="I14">
            <v>1.2337292624310967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ITIALIZATION"/>
      <sheetName val="WALMART"/>
      <sheetName val="dishwashers"/>
      <sheetName val="AMZ"/>
    </sheetNames>
    <sheetDataSet>
      <sheetData sheetId="0"/>
      <sheetData sheetId="1"/>
      <sheetData sheetId="2" refreshError="1"/>
      <sheetData sheetId="3">
        <row r="3">
          <cell r="F3">
            <v>5.1923011954292111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c model"/>
      <sheetName val="growing margins"/>
      <sheetName val="CLV Explanation"/>
      <sheetName val="CLV Sensitivity Analysis"/>
      <sheetName val="Sheet3"/>
    </sheetNames>
    <sheetDataSet>
      <sheetData sheetId="0">
        <row r="1">
          <cell r="B1">
            <v>0.1</v>
          </cell>
        </row>
        <row r="2">
          <cell r="B2">
            <v>0.8</v>
          </cell>
        </row>
        <row r="3">
          <cell r="H3" t="str">
            <v>end</v>
          </cell>
          <cell r="I3">
            <v>0</v>
          </cell>
        </row>
        <row r="4">
          <cell r="H4" t="str">
            <v>beginning</v>
          </cell>
          <cell r="I4">
            <v>1</v>
          </cell>
        </row>
        <row r="5">
          <cell r="H5" t="str">
            <v>middle</v>
          </cell>
          <cell r="I5">
            <v>0.5</v>
          </cell>
        </row>
      </sheetData>
      <sheetData sheetId="1">
        <row r="3">
          <cell r="G3">
            <v>1</v>
          </cell>
        </row>
        <row r="4">
          <cell r="G4">
            <v>1.5</v>
          </cell>
          <cell r="I4">
            <v>0.23099999999999998</v>
          </cell>
        </row>
        <row r="5">
          <cell r="G5">
            <v>3</v>
          </cell>
        </row>
      </sheetData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projectsh"/>
      <sheetName val="magazine"/>
      <sheetName val="prod assess"/>
      <sheetName val="nfl2000"/>
      <sheetName val="prod_assess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3">
          <cell r="L3">
            <v>1</v>
          </cell>
          <cell r="M3">
            <v>-14.352484862369227</v>
          </cell>
        </row>
        <row r="4">
          <cell r="L4">
            <v>2</v>
          </cell>
          <cell r="M4">
            <v>-8.7853353956698221</v>
          </cell>
        </row>
        <row r="5">
          <cell r="L5">
            <v>3</v>
          </cell>
          <cell r="M5">
            <v>10.913016656926613</v>
          </cell>
        </row>
        <row r="6">
          <cell r="L6">
            <v>4</v>
          </cell>
          <cell r="M6">
            <v>-0.81272888719172331</v>
          </cell>
        </row>
        <row r="7">
          <cell r="L7">
            <v>5</v>
          </cell>
          <cell r="M7">
            <v>-1.4452872736473137</v>
          </cell>
        </row>
        <row r="8">
          <cell r="L8">
            <v>6</v>
          </cell>
          <cell r="M8">
            <v>-6.909113048180239</v>
          </cell>
        </row>
        <row r="9">
          <cell r="L9">
            <v>7</v>
          </cell>
          <cell r="M9">
            <v>-9.6943225371214403</v>
          </cell>
        </row>
        <row r="10">
          <cell r="L10">
            <v>8</v>
          </cell>
          <cell r="M10">
            <v>-13.623366561578802</v>
          </cell>
        </row>
        <row r="11">
          <cell r="L11">
            <v>9</v>
          </cell>
          <cell r="M11">
            <v>-3.7582022940405393</v>
          </cell>
        </row>
        <row r="12">
          <cell r="L12">
            <v>10</v>
          </cell>
          <cell r="M12">
            <v>4.3002027400792437</v>
          </cell>
        </row>
        <row r="13">
          <cell r="L13">
            <v>11</v>
          </cell>
          <cell r="M13">
            <v>0.77277898428308123</v>
          </cell>
        </row>
        <row r="14">
          <cell r="L14">
            <v>12</v>
          </cell>
          <cell r="M14">
            <v>1.7968895948381276</v>
          </cell>
        </row>
        <row r="15">
          <cell r="L15">
            <v>13</v>
          </cell>
          <cell r="M15">
            <v>6.9871105047289159</v>
          </cell>
        </row>
        <row r="16">
          <cell r="L16">
            <v>14</v>
          </cell>
          <cell r="M16">
            <v>2.1346916162285638</v>
          </cell>
        </row>
        <row r="17">
          <cell r="L17">
            <v>15</v>
          </cell>
          <cell r="M17">
            <v>0.24637242236172244</v>
          </cell>
        </row>
        <row r="18">
          <cell r="L18">
            <v>16</v>
          </cell>
          <cell r="M18">
            <v>5.6600479370024166</v>
          </cell>
        </row>
        <row r="19">
          <cell r="L19">
            <v>17</v>
          </cell>
          <cell r="M19">
            <v>0.15502028295797946</v>
          </cell>
        </row>
        <row r="20">
          <cell r="L20">
            <v>18</v>
          </cell>
          <cell r="M20">
            <v>-3.2083799310304308</v>
          </cell>
        </row>
        <row r="21">
          <cell r="L21">
            <v>19</v>
          </cell>
          <cell r="M21">
            <v>-6.2931455470478515E-2</v>
          </cell>
        </row>
        <row r="22">
          <cell r="L22">
            <v>20</v>
          </cell>
          <cell r="M22">
            <v>5.4255580567362509</v>
          </cell>
        </row>
        <row r="23">
          <cell r="L23">
            <v>21</v>
          </cell>
          <cell r="M23">
            <v>3.030651608432767</v>
          </cell>
        </row>
        <row r="24">
          <cell r="L24">
            <v>22</v>
          </cell>
          <cell r="M24">
            <v>9.7535502295923724</v>
          </cell>
        </row>
        <row r="25">
          <cell r="L25">
            <v>23</v>
          </cell>
          <cell r="M25">
            <v>4.4258019855110007</v>
          </cell>
        </row>
        <row r="26">
          <cell r="L26">
            <v>24</v>
          </cell>
          <cell r="M26">
            <v>4.9228019406395287</v>
          </cell>
        </row>
        <row r="27">
          <cell r="L27">
            <v>25</v>
          </cell>
          <cell r="M27">
            <v>2.6601895887099718</v>
          </cell>
        </row>
        <row r="28">
          <cell r="L28">
            <v>26</v>
          </cell>
          <cell r="M28">
            <v>-8.3161444589191049</v>
          </cell>
        </row>
        <row r="29">
          <cell r="L29">
            <v>27</v>
          </cell>
          <cell r="M29">
            <v>-4.1566039138895015</v>
          </cell>
        </row>
        <row r="30">
          <cell r="L30">
            <v>28</v>
          </cell>
          <cell r="M30">
            <v>-4.168517253623345</v>
          </cell>
        </row>
        <row r="31">
          <cell r="L31">
            <v>29</v>
          </cell>
          <cell r="M31">
            <v>5.6881738375008757</v>
          </cell>
        </row>
        <row r="32">
          <cell r="L32">
            <v>30</v>
          </cell>
          <cell r="M32">
            <v>8.5647780893898275</v>
          </cell>
        </row>
        <row r="33">
          <cell r="L33">
            <v>31</v>
          </cell>
          <cell r="M33">
            <v>1.8557817968136519</v>
          </cell>
        </row>
      </sheetData>
      <sheetData sheetId="5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gency"/>
      <sheetName val="yen"/>
      <sheetName val="xbox"/>
      <sheetName val="SolverTableSheet"/>
    </sheetNames>
    <sheetDataSet>
      <sheetData sheetId="0">
        <row r="24">
          <cell r="B24">
            <v>0.1</v>
          </cell>
          <cell r="C24">
            <v>502.31791269261038</v>
          </cell>
          <cell r="D24">
            <v>17125.72238118837</v>
          </cell>
        </row>
        <row r="40">
          <cell r="B40">
            <v>1.0000007573040648E-2</v>
          </cell>
        </row>
        <row r="41">
          <cell r="B41">
            <v>9.9999847799665531E-3</v>
          </cell>
        </row>
        <row r="43">
          <cell r="B43">
            <v>8663.3547731327071</v>
          </cell>
        </row>
      </sheetData>
      <sheetData sheetId="1"/>
      <sheetData sheetId="2"/>
      <sheetData sheetId="3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ap A &amp; B"/>
      <sheetName val="Product A &amp; B"/>
      <sheetName val="Multiple Products"/>
      <sheetName val="Conjoint"/>
      <sheetName val="Trend &amp; Seasonality"/>
      <sheetName val="Single &amp; Multiple Pricing"/>
      <sheetName val="S-curve"/>
      <sheetName val="RFM"/>
      <sheetName val="Cluster"/>
      <sheetName val="MDS"/>
      <sheetName val="CLV"/>
      <sheetName val="Forecast"/>
      <sheetName val="Point Sheet"/>
      <sheetName val="Soap_A_&amp;_B"/>
      <sheetName val="Product_A_&amp;_B"/>
      <sheetName val="Multiple_Products"/>
      <sheetName val="Trend_&amp;_Seasonality"/>
      <sheetName val="Single_&amp;_Multiple_Pricing"/>
      <sheetName val="Point_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">
          <cell r="M3">
            <v>1</v>
          </cell>
          <cell r="P3">
            <v>1</v>
          </cell>
          <cell r="Q3">
            <v>4</v>
          </cell>
        </row>
        <row r="4">
          <cell r="P4">
            <v>6</v>
          </cell>
          <cell r="Q4">
            <v>3</v>
          </cell>
        </row>
        <row r="5">
          <cell r="P5">
            <v>11</v>
          </cell>
          <cell r="Q5">
            <v>2</v>
          </cell>
        </row>
        <row r="6">
          <cell r="P6">
            <v>16</v>
          </cell>
          <cell r="Q6">
            <v>1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nav mekala" refreshedDate="45911.928424421298" createdVersion="8" refreshedVersion="8" minRefreshableVersion="3" recordCount="108" xr:uid="{5C508DA2-99AB-4375-9A70-0C86C15A2036}">
  <cacheSource type="worksheet">
    <worksheetSource ref="A7:E115" sheet="Price Optimization (1)"/>
  </cacheSource>
  <cacheFields count="5">
    <cacheField name="Set" numFmtId="0">
      <sharedItems/>
    </cacheField>
    <cacheField name="Store_x000a_No." numFmtId="0">
      <sharedItems/>
    </cacheField>
    <cacheField name="Month" numFmtId="0">
      <sharedItems/>
    </cacheField>
    <cacheField name="Price" numFmtId="8">
      <sharedItems containsSemiMixedTypes="0" containsString="0" containsNumber="1" containsInteger="1" minValue="40" maxValue="50" count="3">
        <n v="45"/>
        <n v="50"/>
        <n v="40"/>
      </sharedItems>
    </cacheField>
    <cacheField name="Ave_x000a_Demand" numFmtId="0">
      <sharedItems containsSemiMixedTypes="0" containsString="0" containsNumber="1" containsInteger="1" minValue="283" maxValue="7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8">
  <r>
    <s v="Set 1 "/>
    <s v="Store 1"/>
    <s v="Jan"/>
    <x v="0"/>
    <n v="433"/>
  </r>
  <r>
    <s v="Set 1 "/>
    <s v="Store 1"/>
    <s v="Feb"/>
    <x v="0"/>
    <n v="439"/>
  </r>
  <r>
    <s v="Set 1 "/>
    <s v="Store 1"/>
    <s v="Mar"/>
    <x v="0"/>
    <n v="491"/>
  </r>
  <r>
    <s v="Set 1 "/>
    <s v="Store 1"/>
    <s v="Apr"/>
    <x v="0"/>
    <n v="471"/>
  </r>
  <r>
    <s v="Set 1 "/>
    <s v="Store 1"/>
    <s v="May"/>
    <x v="0"/>
    <n v="423"/>
  </r>
  <r>
    <s v="Set 1 "/>
    <s v="Store 1"/>
    <s v="Jun"/>
    <x v="0"/>
    <n v="490"/>
  </r>
  <r>
    <s v="Set 1 "/>
    <s v="Store 2"/>
    <s v="Jan"/>
    <x v="0"/>
    <n v="579"/>
  </r>
  <r>
    <s v="Set 1 "/>
    <s v="Store 2"/>
    <s v="Feb"/>
    <x v="0"/>
    <n v="496"/>
  </r>
  <r>
    <s v="Set 1 "/>
    <s v="Store 2"/>
    <s v="Mar"/>
    <x v="0"/>
    <n v="526"/>
  </r>
  <r>
    <s v="Set 1 "/>
    <s v="Store 2"/>
    <s v="Apr"/>
    <x v="0"/>
    <n v="584"/>
  </r>
  <r>
    <s v="Set 1 "/>
    <s v="Store 2"/>
    <s v="May"/>
    <x v="0"/>
    <n v="411"/>
  </r>
  <r>
    <s v="Set 1 "/>
    <s v="Store 2"/>
    <s v="Jun"/>
    <x v="0"/>
    <n v="542"/>
  </r>
  <r>
    <s v="Set 1 "/>
    <s v="Store 3"/>
    <s v="Jan"/>
    <x v="0"/>
    <n v="576"/>
  </r>
  <r>
    <s v="Set 1 "/>
    <s v="Store 3"/>
    <s v="Feb"/>
    <x v="0"/>
    <n v="486"/>
  </r>
  <r>
    <s v="Set 1 "/>
    <s v="Store 3"/>
    <s v="Mar"/>
    <x v="0"/>
    <n v="539"/>
  </r>
  <r>
    <s v="Set 1 "/>
    <s v="Store 3"/>
    <s v="Apr"/>
    <x v="0"/>
    <n v="548"/>
  </r>
  <r>
    <s v="Set 1 "/>
    <s v="Store 3"/>
    <s v="May"/>
    <x v="0"/>
    <n v="425"/>
  </r>
  <r>
    <s v="Set 1 "/>
    <s v="Store 3"/>
    <s v="Jun"/>
    <x v="0"/>
    <n v="432"/>
  </r>
  <r>
    <s v="Set 1 "/>
    <s v="Store 4"/>
    <s v="Jan"/>
    <x v="0"/>
    <n v="530"/>
  </r>
  <r>
    <s v="Set 1 "/>
    <s v="Store 4"/>
    <s v="Feb"/>
    <x v="0"/>
    <n v="520"/>
  </r>
  <r>
    <s v="Set 1 "/>
    <s v="Store 4"/>
    <s v="Mar"/>
    <x v="0"/>
    <n v="530"/>
  </r>
  <r>
    <s v="Set 1 "/>
    <s v="Store 4"/>
    <s v="Apr"/>
    <x v="0"/>
    <n v="592"/>
  </r>
  <r>
    <s v="Set 1 "/>
    <s v="Store 4"/>
    <s v="May"/>
    <x v="0"/>
    <n v="554"/>
  </r>
  <r>
    <s v="Set 1 "/>
    <s v="Store 4"/>
    <s v="Jun"/>
    <x v="0"/>
    <n v="565"/>
  </r>
  <r>
    <s v="Set 1 "/>
    <s v="Store 5"/>
    <s v="Jan"/>
    <x v="0"/>
    <n v="423"/>
  </r>
  <r>
    <s v="Set 1 "/>
    <s v="Store 5"/>
    <s v="Feb"/>
    <x v="0"/>
    <n v="449"/>
  </r>
  <r>
    <s v="Set 1 "/>
    <s v="Store 5"/>
    <s v="Mar"/>
    <x v="0"/>
    <n v="519"/>
  </r>
  <r>
    <s v="Set 1 "/>
    <s v="Store 5"/>
    <s v="Apr"/>
    <x v="0"/>
    <n v="530"/>
  </r>
  <r>
    <s v="Set 1 "/>
    <s v="Store 5"/>
    <s v="May"/>
    <x v="0"/>
    <n v="545"/>
  </r>
  <r>
    <s v="Set 1 "/>
    <s v="Store 5"/>
    <s v="Jun"/>
    <x v="0"/>
    <n v="492"/>
  </r>
  <r>
    <s v="Set 1 "/>
    <s v="Store 6"/>
    <s v="Jan"/>
    <x v="0"/>
    <n v="584"/>
  </r>
  <r>
    <s v="Set 1 "/>
    <s v="Store 6"/>
    <s v="Feb"/>
    <x v="0"/>
    <n v="462"/>
  </r>
  <r>
    <s v="Set 1 "/>
    <s v="Store 6"/>
    <s v="Mar"/>
    <x v="0"/>
    <n v="554"/>
  </r>
  <r>
    <s v="Set 1 "/>
    <s v="Store 6"/>
    <s v="Apr"/>
    <x v="0"/>
    <n v="451"/>
  </r>
  <r>
    <s v="Set 1 "/>
    <s v="Store 6"/>
    <s v="May"/>
    <x v="0"/>
    <n v="547"/>
  </r>
  <r>
    <s v="Set 1 "/>
    <s v="Store 6"/>
    <s v="Jun"/>
    <x v="0"/>
    <n v="537"/>
  </r>
  <r>
    <s v="Set 2"/>
    <s v="Store 1"/>
    <s v="Jan"/>
    <x v="1"/>
    <n v="438"/>
  </r>
  <r>
    <s v="Set 2"/>
    <s v="Store 1"/>
    <s v="Feb"/>
    <x v="1"/>
    <n v="347"/>
  </r>
  <r>
    <s v="Set 2"/>
    <s v="Store 1"/>
    <s v="Mar"/>
    <x v="1"/>
    <n v="482"/>
  </r>
  <r>
    <s v="Set 2"/>
    <s v="Store 1"/>
    <s v="Apr"/>
    <x v="1"/>
    <n v="450"/>
  </r>
  <r>
    <s v="Set 2"/>
    <s v="Store 1"/>
    <s v="May"/>
    <x v="1"/>
    <n v="364"/>
  </r>
  <r>
    <s v="Set 2"/>
    <s v="Store 1"/>
    <s v="Jun"/>
    <x v="1"/>
    <n v="434"/>
  </r>
  <r>
    <s v="Set 2"/>
    <s v="Store 2"/>
    <s v="Jan"/>
    <x v="1"/>
    <n v="293"/>
  </r>
  <r>
    <s v="Set 2"/>
    <s v="Store 2"/>
    <s v="Feb"/>
    <x v="1"/>
    <n v="487"/>
  </r>
  <r>
    <s v="Set 2"/>
    <s v="Store 2"/>
    <s v="Mar"/>
    <x v="1"/>
    <n v="320"/>
  </r>
  <r>
    <s v="Set 2"/>
    <s v="Store 2"/>
    <s v="Apr"/>
    <x v="1"/>
    <n v="454"/>
  </r>
  <r>
    <s v="Set 2"/>
    <s v="Store 2"/>
    <s v="May"/>
    <x v="1"/>
    <n v="411"/>
  </r>
  <r>
    <s v="Set 2"/>
    <s v="Store 2"/>
    <s v="Jun"/>
    <x v="1"/>
    <n v="471"/>
  </r>
  <r>
    <s v="Set 2"/>
    <s v="Store 3"/>
    <s v="Jan"/>
    <x v="1"/>
    <n v="353"/>
  </r>
  <r>
    <s v="Set 2"/>
    <s v="Store 3"/>
    <s v="Feb"/>
    <x v="1"/>
    <n v="432"/>
  </r>
  <r>
    <s v="Set 2"/>
    <s v="Store 3"/>
    <s v="Mar"/>
    <x v="1"/>
    <n v="447"/>
  </r>
  <r>
    <s v="Set 2"/>
    <s v="Store 3"/>
    <s v="Apr"/>
    <x v="1"/>
    <n v="432"/>
  </r>
  <r>
    <s v="Set 2"/>
    <s v="Store 3"/>
    <s v="May"/>
    <x v="1"/>
    <n v="420"/>
  </r>
  <r>
    <s v="Set 2"/>
    <s v="Store 3"/>
    <s v="Jun"/>
    <x v="1"/>
    <n v="440"/>
  </r>
  <r>
    <s v="Set 2"/>
    <s v="Store 4"/>
    <s v="Jan"/>
    <x v="1"/>
    <n v="498"/>
  </r>
  <r>
    <s v="Set 2"/>
    <s v="Store 4"/>
    <s v="Feb"/>
    <x v="1"/>
    <n v="398"/>
  </r>
  <r>
    <s v="Set 2"/>
    <s v="Store 4"/>
    <s v="Mar"/>
    <x v="1"/>
    <n v="323"/>
  </r>
  <r>
    <s v="Set 2"/>
    <s v="Store 4"/>
    <s v="Apr"/>
    <x v="1"/>
    <n v="374"/>
  </r>
  <r>
    <s v="Set 2"/>
    <s v="Store 4"/>
    <s v="May"/>
    <x v="1"/>
    <n v="426"/>
  </r>
  <r>
    <s v="Set 2"/>
    <s v="Store 4"/>
    <s v="Jun"/>
    <x v="1"/>
    <n v="287"/>
  </r>
  <r>
    <s v="Set 2"/>
    <s v="Store 5"/>
    <s v="Jan"/>
    <x v="1"/>
    <n v="459"/>
  </r>
  <r>
    <s v="Set 2"/>
    <s v="Store 5"/>
    <s v="Feb"/>
    <x v="1"/>
    <n v="398"/>
  </r>
  <r>
    <s v="Set 2"/>
    <s v="Store 5"/>
    <s v="Mar"/>
    <x v="1"/>
    <n v="368"/>
  </r>
  <r>
    <s v="Set 2"/>
    <s v="Store 5"/>
    <s v="Apr"/>
    <x v="1"/>
    <n v="431"/>
  </r>
  <r>
    <s v="Set 2"/>
    <s v="Store 5"/>
    <s v="May"/>
    <x v="1"/>
    <n v="300"/>
  </r>
  <r>
    <s v="Set 2"/>
    <s v="Store 5"/>
    <s v="Jun"/>
    <x v="1"/>
    <n v="340"/>
  </r>
  <r>
    <s v="Set 2"/>
    <s v="Store 6"/>
    <s v="Jan"/>
    <x v="1"/>
    <n v="400"/>
  </r>
  <r>
    <s v="Set 2"/>
    <s v="Store 6"/>
    <s v="Feb"/>
    <x v="1"/>
    <n v="472"/>
  </r>
  <r>
    <s v="Set 2"/>
    <s v="Store 6"/>
    <s v="Mar"/>
    <x v="1"/>
    <n v="283"/>
  </r>
  <r>
    <s v="Set 2"/>
    <s v="Store 6"/>
    <s v="Apr"/>
    <x v="1"/>
    <n v="402"/>
  </r>
  <r>
    <s v="Set 2"/>
    <s v="Store 6"/>
    <s v="May"/>
    <x v="1"/>
    <n v="303"/>
  </r>
  <r>
    <s v="Set 2"/>
    <s v="Store 6"/>
    <s v="Jun"/>
    <x v="1"/>
    <n v="463"/>
  </r>
  <r>
    <s v="Set 3"/>
    <s v="Store 1"/>
    <s v="Jan"/>
    <x v="2"/>
    <n v="743"/>
  </r>
  <r>
    <s v="Set 3"/>
    <s v="Store 1"/>
    <s v="Feb"/>
    <x v="2"/>
    <n v="668"/>
  </r>
  <r>
    <s v="Set 3"/>
    <s v="Store 1"/>
    <s v="Mar"/>
    <x v="2"/>
    <n v="780"/>
  </r>
  <r>
    <s v="Set 3"/>
    <s v="Store 1"/>
    <s v="Apr"/>
    <x v="2"/>
    <n v="758"/>
  </r>
  <r>
    <s v="Set 3"/>
    <s v="Store 1"/>
    <s v="May"/>
    <x v="2"/>
    <n v="799"/>
  </r>
  <r>
    <s v="Set 3"/>
    <s v="Store 1"/>
    <s v="Jun"/>
    <x v="2"/>
    <n v="770"/>
  </r>
  <r>
    <s v="Set 3"/>
    <s v="Store 2"/>
    <s v="Jan"/>
    <x v="2"/>
    <n v="799"/>
  </r>
  <r>
    <s v="Set 3"/>
    <s v="Store 2"/>
    <s v="Feb"/>
    <x v="2"/>
    <n v="662"/>
  </r>
  <r>
    <s v="Set 3"/>
    <s v="Store 2"/>
    <s v="Mar"/>
    <x v="2"/>
    <n v="653"/>
  </r>
  <r>
    <s v="Set 3"/>
    <s v="Store 2"/>
    <s v="Apr"/>
    <x v="2"/>
    <n v="736"/>
  </r>
  <r>
    <s v="Set 3"/>
    <s v="Store 2"/>
    <s v="May"/>
    <x v="2"/>
    <n v="678"/>
  </r>
  <r>
    <s v="Set 3"/>
    <s v="Store 2"/>
    <s v="Jun"/>
    <x v="2"/>
    <n v="690"/>
  </r>
  <r>
    <s v="Set 3"/>
    <s v="Store 3"/>
    <s v="Jan"/>
    <x v="2"/>
    <n v="781"/>
  </r>
  <r>
    <s v="Set 3"/>
    <s v="Store 3"/>
    <s v="Feb"/>
    <x v="2"/>
    <n v="635"/>
  </r>
  <r>
    <s v="Set 3"/>
    <s v="Store 3"/>
    <s v="Mar"/>
    <x v="2"/>
    <n v="752"/>
  </r>
  <r>
    <s v="Set 3"/>
    <s v="Store 3"/>
    <s v="Apr"/>
    <x v="2"/>
    <n v="603"/>
  </r>
  <r>
    <s v="Set 3"/>
    <s v="Store 3"/>
    <s v="May"/>
    <x v="2"/>
    <n v="795"/>
  </r>
  <r>
    <s v="Set 3"/>
    <s v="Store 3"/>
    <s v="Jun"/>
    <x v="2"/>
    <n v="697"/>
  </r>
  <r>
    <s v="Set 3"/>
    <s v="Store 4"/>
    <s v="Jan"/>
    <x v="2"/>
    <n v="637"/>
  </r>
  <r>
    <s v="Set 3"/>
    <s v="Store 4"/>
    <s v="Feb"/>
    <x v="2"/>
    <n v="679"/>
  </r>
  <r>
    <s v="Set 3"/>
    <s v="Store 4"/>
    <s v="Mar"/>
    <x v="2"/>
    <n v="794"/>
  </r>
  <r>
    <s v="Set 3"/>
    <s v="Store 4"/>
    <s v="Apr"/>
    <x v="2"/>
    <n v="688"/>
  </r>
  <r>
    <s v="Set 3"/>
    <s v="Store 4"/>
    <s v="May"/>
    <x v="2"/>
    <n v="626"/>
  </r>
  <r>
    <s v="Set 3"/>
    <s v="Store 4"/>
    <s v="Jun"/>
    <x v="2"/>
    <n v="685"/>
  </r>
  <r>
    <s v="Set 3"/>
    <s v="Store 5"/>
    <s v="Jan"/>
    <x v="2"/>
    <n v="697"/>
  </r>
  <r>
    <s v="Set 3"/>
    <s v="Store 5"/>
    <s v="Feb"/>
    <x v="2"/>
    <n v="650"/>
  </r>
  <r>
    <s v="Set 3"/>
    <s v="Store 5"/>
    <s v="Mar"/>
    <x v="2"/>
    <n v="793"/>
  </r>
  <r>
    <s v="Set 3"/>
    <s v="Store 5"/>
    <s v="Apr"/>
    <x v="2"/>
    <n v="757"/>
  </r>
  <r>
    <s v="Set 3"/>
    <s v="Store 5"/>
    <s v="May"/>
    <x v="2"/>
    <n v="582"/>
  </r>
  <r>
    <s v="Set 3"/>
    <s v="Store 5"/>
    <s v="Jun"/>
    <x v="2"/>
    <n v="788"/>
  </r>
  <r>
    <s v="Set 3"/>
    <s v="Store 6"/>
    <s v="Jan"/>
    <x v="2"/>
    <n v="622"/>
  </r>
  <r>
    <s v="Set 3"/>
    <s v="Store 6"/>
    <s v="Feb"/>
    <x v="2"/>
    <n v="781"/>
  </r>
  <r>
    <s v="Set 3"/>
    <s v="Store 6"/>
    <s v="Mar"/>
    <x v="2"/>
    <n v="686"/>
  </r>
  <r>
    <s v="Set 3"/>
    <s v="Store 6"/>
    <s v="Apr"/>
    <x v="2"/>
    <n v="765"/>
  </r>
  <r>
    <s v="Set 3"/>
    <s v="Store 6"/>
    <s v="May"/>
    <x v="2"/>
    <n v="796"/>
  </r>
  <r>
    <s v="Set 3"/>
    <s v="Store 6"/>
    <s v="Jun"/>
    <x v="2"/>
    <n v="63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FB0612-17EF-4A57-BC48-81B1816D81C1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S8:T12" firstHeaderRow="1" firstDataRow="1" firstDataCol="1"/>
  <pivotFields count="5">
    <pivotField showAll="0"/>
    <pivotField showAll="0"/>
    <pivotField showAll="0"/>
    <pivotField axis="axisRow" numFmtId="8" showAll="0">
      <items count="4">
        <item x="2"/>
        <item x="0"/>
        <item x="1"/>
        <item t="default"/>
      </items>
    </pivotField>
    <pivotField dataField="1"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Ave" fld="4" subtotal="average" baseField="3" baseItem="0"/>
  </dataFields>
  <formats count="2">
    <format dxfId="2">
      <pivotArea collapsedLevelsAreSubtotals="1" fieldPosition="0">
        <references count="1">
          <reference field="3" count="1">
            <x v="1"/>
          </reference>
        </references>
      </pivotArea>
    </format>
    <format dxfId="1">
      <pivotArea collapsedLevelsAreSubtotals="1" fieldPosition="0">
        <references count="1">
          <reference field="3" count="1">
            <x v="0"/>
          </reference>
        </references>
      </pivotArea>
    </format>
  </format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3C82F9-9513-4623-828E-E3D2BC7273EB}" name="Table1" displayName="Table1" ref="S142:U145" totalsRowShown="0" headerRowDxfId="0">
  <autoFilter ref="S142:U145" xr:uid="{743C82F9-9513-4623-828E-E3D2BC7273EB}"/>
  <tableColumns count="3">
    <tableColumn id="1" xr3:uid="{10FB79A4-A093-43AE-80A2-18CA0C83BBCC}" name="Strategy"/>
    <tableColumn id="2" xr3:uid="{54EE146A-7FFE-4C95-8540-A3DF0BEF4ECD}" name="Price"/>
    <tableColumn id="3" xr3:uid="{B11F4A7A-8DBA-484E-82A4-56AC541F7A8D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53F55-673F-472E-AE04-A12628C013C9}">
  <dimension ref="A1:BB181"/>
  <sheetViews>
    <sheetView tabSelected="1" topLeftCell="A43" zoomScale="48" workbookViewId="0">
      <selection activeCell="G73" sqref="G73"/>
    </sheetView>
  </sheetViews>
  <sheetFormatPr defaultRowHeight="14.4" x14ac:dyDescent="0.55000000000000004"/>
  <cols>
    <col min="1" max="1" width="12.3125" customWidth="1"/>
    <col min="2" max="2" width="20.15625" customWidth="1"/>
    <col min="3" max="3" width="12.20703125" customWidth="1"/>
    <col min="4" max="4" width="10.3125" customWidth="1"/>
    <col min="5" max="5" width="11.7890625" customWidth="1"/>
    <col min="6" max="6" width="15.89453125" bestFit="1" customWidth="1"/>
    <col min="7" max="7" width="11.7890625" customWidth="1"/>
    <col min="8" max="8" width="20.5234375" customWidth="1"/>
    <col min="9" max="10" width="8.89453125" bestFit="1" customWidth="1"/>
    <col min="19" max="19" width="12.1015625" bestFit="1" customWidth="1"/>
    <col min="20" max="20" width="13.1015625" bestFit="1" customWidth="1"/>
    <col min="21" max="21" width="12.20703125" customWidth="1"/>
    <col min="22" max="22" width="13.68359375" customWidth="1"/>
    <col min="27" max="27" width="27.05078125" customWidth="1"/>
    <col min="28" max="28" width="8.89453125" bestFit="1" customWidth="1"/>
    <col min="29" max="29" width="17.68359375" customWidth="1"/>
    <col min="30" max="30" width="8.89453125" bestFit="1" customWidth="1"/>
    <col min="31" max="31" width="13.3671875" customWidth="1"/>
    <col min="32" max="32" width="8.89453125" bestFit="1" customWidth="1"/>
    <col min="33" max="33" width="12.734375" bestFit="1" customWidth="1"/>
    <col min="35" max="35" width="8.89453125" bestFit="1" customWidth="1"/>
    <col min="36" max="36" width="10.05078125" bestFit="1" customWidth="1"/>
    <col min="37" max="39" width="8.89453125" bestFit="1" customWidth="1"/>
    <col min="42" max="42" width="8.89453125" bestFit="1" customWidth="1"/>
    <col min="43" max="43" width="9.7890625" bestFit="1" customWidth="1"/>
    <col min="44" max="46" width="8.89453125" bestFit="1" customWidth="1"/>
    <col min="49" max="49" width="8.89453125" bestFit="1" customWidth="1"/>
    <col min="50" max="50" width="10.05078125" bestFit="1" customWidth="1"/>
    <col min="51" max="53" width="8.89453125" bestFit="1" customWidth="1"/>
    <col min="54" max="54" width="12.7890625" bestFit="1" customWidth="1"/>
  </cols>
  <sheetData>
    <row r="1" spans="1:54" x14ac:dyDescent="0.55000000000000004">
      <c r="A1" s="3" t="s">
        <v>8</v>
      </c>
      <c r="D1" s="1"/>
    </row>
    <row r="2" spans="1:54" x14ac:dyDescent="0.55000000000000004">
      <c r="A2" s="3" t="s">
        <v>46</v>
      </c>
      <c r="D2" s="1"/>
    </row>
    <row r="3" spans="1:54" x14ac:dyDescent="0.55000000000000004">
      <c r="A3" s="3" t="s">
        <v>47</v>
      </c>
      <c r="D3" s="1"/>
    </row>
    <row r="4" spans="1:54" x14ac:dyDescent="0.55000000000000004">
      <c r="A4" s="3" t="s">
        <v>48</v>
      </c>
      <c r="D4" s="1"/>
    </row>
    <row r="5" spans="1:54" x14ac:dyDescent="0.55000000000000004">
      <c r="A5" s="3" t="s">
        <v>20</v>
      </c>
      <c r="B5" s="21">
        <v>12</v>
      </c>
      <c r="D5" s="1"/>
      <c r="AJ5" s="41" t="s">
        <v>125</v>
      </c>
      <c r="AK5" s="40"/>
      <c r="AL5" s="40"/>
      <c r="AQ5" s="41" t="s">
        <v>126</v>
      </c>
      <c r="AR5" s="40"/>
      <c r="AS5" s="40"/>
      <c r="AX5" s="41" t="s">
        <v>188</v>
      </c>
      <c r="AY5" s="40"/>
      <c r="AZ5" s="40"/>
    </row>
    <row r="6" spans="1:54" x14ac:dyDescent="0.55000000000000004">
      <c r="D6" s="1"/>
    </row>
    <row r="7" spans="1:54" ht="28.8" x14ac:dyDescent="0.55000000000000004">
      <c r="A7" s="4" t="s">
        <v>9</v>
      </c>
      <c r="B7" s="5" t="s">
        <v>49</v>
      </c>
      <c r="C7" s="4" t="s">
        <v>7</v>
      </c>
      <c r="D7" s="4" t="s">
        <v>0</v>
      </c>
      <c r="E7" s="5" t="s">
        <v>50</v>
      </c>
      <c r="F7" s="28"/>
      <c r="G7" s="6" t="s">
        <v>35</v>
      </c>
      <c r="R7" t="s">
        <v>70</v>
      </c>
      <c r="AB7" t="s">
        <v>0</v>
      </c>
      <c r="AC7" t="s">
        <v>116</v>
      </c>
      <c r="AD7" t="s">
        <v>117</v>
      </c>
      <c r="AE7" t="s">
        <v>118</v>
      </c>
      <c r="AF7" t="s">
        <v>119</v>
      </c>
      <c r="AI7" t="s">
        <v>0</v>
      </c>
      <c r="AJ7" t="s">
        <v>116</v>
      </c>
      <c r="AK7" t="s">
        <v>117</v>
      </c>
      <c r="AL7" t="s">
        <v>118</v>
      </c>
      <c r="AM7" t="s">
        <v>119</v>
      </c>
      <c r="AP7" t="s">
        <v>0</v>
      </c>
      <c r="AQ7" t="s">
        <v>116</v>
      </c>
      <c r="AR7" t="s">
        <v>117</v>
      </c>
      <c r="AS7" t="s">
        <v>118</v>
      </c>
      <c r="AT7" t="s">
        <v>119</v>
      </c>
      <c r="AW7" t="s">
        <v>0</v>
      </c>
      <c r="AX7" t="s">
        <v>116</v>
      </c>
      <c r="AY7" t="s">
        <v>117</v>
      </c>
      <c r="AZ7" t="s">
        <v>118</v>
      </c>
      <c r="BA7" t="s">
        <v>119</v>
      </c>
      <c r="BB7" t="s">
        <v>185</v>
      </c>
    </row>
    <row r="8" spans="1:54" x14ac:dyDescent="0.55000000000000004">
      <c r="A8" s="1" t="s">
        <v>10</v>
      </c>
      <c r="B8" s="1" t="s">
        <v>51</v>
      </c>
      <c r="C8" s="1" t="s">
        <v>1</v>
      </c>
      <c r="D8" s="2">
        <v>45</v>
      </c>
      <c r="E8" s="1">
        <v>433</v>
      </c>
      <c r="G8" t="s">
        <v>43</v>
      </c>
      <c r="R8" s="27" t="s">
        <v>71</v>
      </c>
      <c r="S8" s="25" t="s">
        <v>67</v>
      </c>
      <c r="T8" t="s">
        <v>69</v>
      </c>
      <c r="AB8" s="39">
        <v>37.14</v>
      </c>
      <c r="AC8" s="21">
        <f>-31.26*AB8+1947</f>
        <v>786.00360000000001</v>
      </c>
      <c r="AD8" s="36">
        <v>12</v>
      </c>
      <c r="AE8" s="21">
        <f>AB8-AD8</f>
        <v>25.14</v>
      </c>
      <c r="AF8">
        <f>AE8*AC8</f>
        <v>19760.130504000001</v>
      </c>
      <c r="AG8" s="21"/>
      <c r="AI8" s="39">
        <v>14</v>
      </c>
      <c r="AJ8" s="21">
        <f>-31.26*AI8+1947</f>
        <v>1509.36</v>
      </c>
      <c r="AK8" s="36">
        <v>12</v>
      </c>
      <c r="AL8" s="21">
        <f>AI8-AK8</f>
        <v>2</v>
      </c>
      <c r="AM8">
        <f>AL8*AJ8</f>
        <v>3018.72</v>
      </c>
      <c r="AP8" s="39">
        <v>24</v>
      </c>
      <c r="AQ8" s="21">
        <f>-31.26*AP8+1947</f>
        <v>1196.76</v>
      </c>
      <c r="AR8" s="36">
        <v>12</v>
      </c>
      <c r="AS8" s="21">
        <f>AP8-AR8</f>
        <v>12</v>
      </c>
      <c r="AT8">
        <f>AS8*AQ8</f>
        <v>14361.119999999999</v>
      </c>
      <c r="AW8" s="39">
        <v>28.892034258788225</v>
      </c>
      <c r="AX8" s="21">
        <f>-31.26*AW8+1947</f>
        <v>1043.8350090702802</v>
      </c>
      <c r="AY8" s="36">
        <v>12</v>
      </c>
      <c r="AZ8" s="21">
        <f>AW8-AY8</f>
        <v>16.892034258788225</v>
      </c>
      <c r="BA8">
        <f>AZ8*AX8</f>
        <v>17632.496733737691</v>
      </c>
      <c r="BB8" s="21">
        <f>BA8+(22*0.75*AX8)</f>
        <v>34855.774383397315</v>
      </c>
    </row>
    <row r="9" spans="1:54" x14ac:dyDescent="0.55000000000000004">
      <c r="A9" s="1" t="s">
        <v>10</v>
      </c>
      <c r="B9" s="1" t="s">
        <v>51</v>
      </c>
      <c r="C9" s="1" t="s">
        <v>2</v>
      </c>
      <c r="D9" s="2">
        <v>45</v>
      </c>
      <c r="E9" s="1">
        <v>439</v>
      </c>
      <c r="G9" t="s">
        <v>52</v>
      </c>
      <c r="S9" s="26">
        <v>40</v>
      </c>
      <c r="T9" s="30">
        <v>712.66666666666663</v>
      </c>
      <c r="AB9" s="39">
        <v>37.14</v>
      </c>
      <c r="AC9" s="21">
        <f t="shared" ref="AC9:AC72" si="0">-31.26*AB9+1947</f>
        <v>786.00360000000001</v>
      </c>
      <c r="AD9" s="36">
        <v>12</v>
      </c>
      <c r="AE9" s="21">
        <f t="shared" ref="AE9:AE72" si="1">AB9-AD9</f>
        <v>25.14</v>
      </c>
      <c r="AF9">
        <f t="shared" ref="AF9:AF72" si="2">AE9*AC9</f>
        <v>19760.130504000001</v>
      </c>
      <c r="AG9" s="21"/>
      <c r="AI9" s="39">
        <v>14</v>
      </c>
      <c r="AJ9" s="21">
        <f t="shared" ref="AJ9:AJ72" si="3">-31.26*AI9+1947</f>
        <v>1509.36</v>
      </c>
      <c r="AK9" s="36">
        <v>12</v>
      </c>
      <c r="AL9" s="21">
        <f t="shared" ref="AL9:AL72" si="4">AI9-AK9</f>
        <v>2</v>
      </c>
      <c r="AM9">
        <f t="shared" ref="AM9:AM72" si="5">AL9*AJ9</f>
        <v>3018.72</v>
      </c>
      <c r="AP9" s="39">
        <v>24</v>
      </c>
      <c r="AQ9" s="21">
        <f t="shared" ref="AQ9:AQ72" si="6">-31.26*AP9+1947</f>
        <v>1196.76</v>
      </c>
      <c r="AR9" s="36">
        <v>12</v>
      </c>
      <c r="AS9" s="21">
        <f t="shared" ref="AS9:AS72" si="7">AP9-AR9</f>
        <v>12</v>
      </c>
      <c r="AT9">
        <f t="shared" ref="AT9:AT72" si="8">AS9*AQ9</f>
        <v>14361.119999999999</v>
      </c>
      <c r="AW9" s="39">
        <v>28.892034258788225</v>
      </c>
      <c r="AX9" s="21">
        <f t="shared" ref="AX9:AX72" si="9">-31.26*AW9+1947</f>
        <v>1043.8350090702802</v>
      </c>
      <c r="AY9" s="36">
        <v>12</v>
      </c>
      <c r="AZ9" s="21">
        <f t="shared" ref="AZ9:AZ72" si="10">AW9-AY9</f>
        <v>16.892034258788225</v>
      </c>
      <c r="BA9">
        <f t="shared" ref="BA9:BA72" si="11">AZ9*AX9</f>
        <v>17632.496733737691</v>
      </c>
      <c r="BB9" s="21">
        <f t="shared" ref="BB9:BB72" si="12">BA9+(22*0.75*AX9)</f>
        <v>34855.774383397315</v>
      </c>
    </row>
    <row r="10" spans="1:54" x14ac:dyDescent="0.55000000000000004">
      <c r="A10" s="1" t="s">
        <v>10</v>
      </c>
      <c r="B10" s="1" t="s">
        <v>51</v>
      </c>
      <c r="C10" s="1" t="s">
        <v>3</v>
      </c>
      <c r="D10" s="2">
        <v>45</v>
      </c>
      <c r="E10" s="1">
        <v>491</v>
      </c>
      <c r="G10" t="s">
        <v>53</v>
      </c>
      <c r="S10" s="26">
        <v>45</v>
      </c>
      <c r="T10" s="30">
        <v>507.63888888888891</v>
      </c>
      <c r="AB10" s="39">
        <v>37.14</v>
      </c>
      <c r="AC10" s="21">
        <f t="shared" si="0"/>
        <v>786.00360000000001</v>
      </c>
      <c r="AD10" s="36">
        <v>12</v>
      </c>
      <c r="AE10" s="21">
        <f t="shared" si="1"/>
        <v>25.14</v>
      </c>
      <c r="AF10">
        <f t="shared" si="2"/>
        <v>19760.130504000001</v>
      </c>
      <c r="AG10" s="21"/>
      <c r="AI10" s="39">
        <v>14</v>
      </c>
      <c r="AJ10" s="21">
        <f t="shared" si="3"/>
        <v>1509.36</v>
      </c>
      <c r="AK10" s="36">
        <v>12</v>
      </c>
      <c r="AL10" s="21">
        <f t="shared" si="4"/>
        <v>2</v>
      </c>
      <c r="AM10">
        <f t="shared" si="5"/>
        <v>3018.72</v>
      </c>
      <c r="AP10" s="39">
        <v>24</v>
      </c>
      <c r="AQ10" s="21">
        <f t="shared" si="6"/>
        <v>1196.76</v>
      </c>
      <c r="AR10" s="36">
        <v>12</v>
      </c>
      <c r="AS10" s="21">
        <f t="shared" si="7"/>
        <v>12</v>
      </c>
      <c r="AT10">
        <f t="shared" si="8"/>
        <v>14361.119999999999</v>
      </c>
      <c r="AW10" s="39">
        <v>28.892034258788225</v>
      </c>
      <c r="AX10" s="21">
        <f t="shared" si="9"/>
        <v>1043.8350090702802</v>
      </c>
      <c r="AY10" s="36">
        <v>12</v>
      </c>
      <c r="AZ10" s="21">
        <f t="shared" si="10"/>
        <v>16.892034258788225</v>
      </c>
      <c r="BA10">
        <f t="shared" si="11"/>
        <v>17632.496733737691</v>
      </c>
      <c r="BB10" s="21">
        <f t="shared" si="12"/>
        <v>34855.774383397315</v>
      </c>
    </row>
    <row r="11" spans="1:54" x14ac:dyDescent="0.55000000000000004">
      <c r="A11" s="1" t="s">
        <v>10</v>
      </c>
      <c r="B11" s="1" t="s">
        <v>51</v>
      </c>
      <c r="C11" s="1" t="s">
        <v>4</v>
      </c>
      <c r="D11" s="2">
        <v>45</v>
      </c>
      <c r="E11" s="1">
        <v>471</v>
      </c>
      <c r="G11" t="s">
        <v>54</v>
      </c>
      <c r="S11" s="26">
        <v>50</v>
      </c>
      <c r="T11">
        <v>400</v>
      </c>
      <c r="AB11" s="39">
        <v>37.14</v>
      </c>
      <c r="AC11" s="21">
        <f t="shared" si="0"/>
        <v>786.00360000000001</v>
      </c>
      <c r="AD11" s="36">
        <v>12</v>
      </c>
      <c r="AE11" s="21">
        <f t="shared" si="1"/>
        <v>25.14</v>
      </c>
      <c r="AF11">
        <f t="shared" si="2"/>
        <v>19760.130504000001</v>
      </c>
      <c r="AG11" s="21"/>
      <c r="AI11" s="39">
        <v>14</v>
      </c>
      <c r="AJ11" s="21">
        <f t="shared" si="3"/>
        <v>1509.36</v>
      </c>
      <c r="AK11" s="36">
        <v>12</v>
      </c>
      <c r="AL11" s="21">
        <f t="shared" si="4"/>
        <v>2</v>
      </c>
      <c r="AM11">
        <f t="shared" si="5"/>
        <v>3018.72</v>
      </c>
      <c r="AP11" s="39">
        <v>24</v>
      </c>
      <c r="AQ11" s="21">
        <f t="shared" si="6"/>
        <v>1196.76</v>
      </c>
      <c r="AR11" s="36">
        <v>12</v>
      </c>
      <c r="AS11" s="21">
        <f t="shared" si="7"/>
        <v>12</v>
      </c>
      <c r="AT11">
        <f t="shared" si="8"/>
        <v>14361.119999999999</v>
      </c>
      <c r="AW11" s="39">
        <v>28.892034258788225</v>
      </c>
      <c r="AX11" s="21">
        <f t="shared" si="9"/>
        <v>1043.8350090702802</v>
      </c>
      <c r="AY11" s="36">
        <v>12</v>
      </c>
      <c r="AZ11" s="21">
        <f t="shared" si="10"/>
        <v>16.892034258788225</v>
      </c>
      <c r="BA11">
        <f t="shared" si="11"/>
        <v>17632.496733737691</v>
      </c>
      <c r="BB11" s="21">
        <f t="shared" si="12"/>
        <v>34855.774383397315</v>
      </c>
    </row>
    <row r="12" spans="1:54" x14ac:dyDescent="0.55000000000000004">
      <c r="A12" s="1" t="s">
        <v>10</v>
      </c>
      <c r="B12" s="1" t="s">
        <v>51</v>
      </c>
      <c r="C12" s="1" t="s">
        <v>5</v>
      </c>
      <c r="D12" s="2">
        <v>45</v>
      </c>
      <c r="E12" s="1">
        <v>423</v>
      </c>
      <c r="G12" t="s">
        <v>55</v>
      </c>
      <c r="S12" s="26" t="s">
        <v>68</v>
      </c>
      <c r="T12">
        <v>540.10185185185185</v>
      </c>
      <c r="AB12" s="39">
        <v>37.14</v>
      </c>
      <c r="AC12" s="21">
        <f t="shared" si="0"/>
        <v>786.00360000000001</v>
      </c>
      <c r="AD12" s="36">
        <v>12</v>
      </c>
      <c r="AE12" s="21">
        <f t="shared" si="1"/>
        <v>25.14</v>
      </c>
      <c r="AF12">
        <f t="shared" si="2"/>
        <v>19760.130504000001</v>
      </c>
      <c r="AG12" s="21"/>
      <c r="AI12" s="39">
        <v>14</v>
      </c>
      <c r="AJ12" s="21">
        <f t="shared" si="3"/>
        <v>1509.36</v>
      </c>
      <c r="AK12" s="36">
        <v>12</v>
      </c>
      <c r="AL12" s="21">
        <f t="shared" si="4"/>
        <v>2</v>
      </c>
      <c r="AM12">
        <f t="shared" si="5"/>
        <v>3018.72</v>
      </c>
      <c r="AP12" s="39">
        <v>24</v>
      </c>
      <c r="AQ12" s="21">
        <f t="shared" si="6"/>
        <v>1196.76</v>
      </c>
      <c r="AR12" s="36">
        <v>12</v>
      </c>
      <c r="AS12" s="21">
        <f t="shared" si="7"/>
        <v>12</v>
      </c>
      <c r="AT12">
        <f t="shared" si="8"/>
        <v>14361.119999999999</v>
      </c>
      <c r="AW12" s="39">
        <v>28.892034258788225</v>
      </c>
      <c r="AX12" s="21">
        <f t="shared" si="9"/>
        <v>1043.8350090702802</v>
      </c>
      <c r="AY12" s="36">
        <v>12</v>
      </c>
      <c r="AZ12" s="21">
        <f t="shared" si="10"/>
        <v>16.892034258788225</v>
      </c>
      <c r="BA12">
        <f t="shared" si="11"/>
        <v>17632.496733737691</v>
      </c>
      <c r="BB12" s="21">
        <f t="shared" si="12"/>
        <v>34855.774383397315</v>
      </c>
    </row>
    <row r="13" spans="1:54" x14ac:dyDescent="0.55000000000000004">
      <c r="A13" s="1" t="s">
        <v>10</v>
      </c>
      <c r="B13" s="1" t="s">
        <v>51</v>
      </c>
      <c r="C13" s="1" t="s">
        <v>6</v>
      </c>
      <c r="D13" s="2">
        <v>45</v>
      </c>
      <c r="E13" s="1">
        <v>490</v>
      </c>
      <c r="F13" s="22"/>
      <c r="G13" t="s">
        <v>56</v>
      </c>
      <c r="R13" t="s">
        <v>72</v>
      </c>
      <c r="AB13" s="39">
        <v>37.14</v>
      </c>
      <c r="AC13" s="21">
        <f t="shared" si="0"/>
        <v>786.00360000000001</v>
      </c>
      <c r="AD13" s="36">
        <v>12</v>
      </c>
      <c r="AE13" s="21">
        <f t="shared" si="1"/>
        <v>25.14</v>
      </c>
      <c r="AF13">
        <f t="shared" si="2"/>
        <v>19760.130504000001</v>
      </c>
      <c r="AG13" s="21"/>
      <c r="AI13" s="39">
        <v>14</v>
      </c>
      <c r="AJ13" s="21">
        <f t="shared" si="3"/>
        <v>1509.36</v>
      </c>
      <c r="AK13" s="36">
        <v>12</v>
      </c>
      <c r="AL13" s="21">
        <f t="shared" si="4"/>
        <v>2</v>
      </c>
      <c r="AM13">
        <f t="shared" si="5"/>
        <v>3018.72</v>
      </c>
      <c r="AP13" s="39">
        <v>24</v>
      </c>
      <c r="AQ13" s="21">
        <f t="shared" si="6"/>
        <v>1196.76</v>
      </c>
      <c r="AR13" s="36">
        <v>12</v>
      </c>
      <c r="AS13" s="21">
        <f t="shared" si="7"/>
        <v>12</v>
      </c>
      <c r="AT13">
        <f t="shared" si="8"/>
        <v>14361.119999999999</v>
      </c>
      <c r="AW13" s="39">
        <v>28.892034258788225</v>
      </c>
      <c r="AX13" s="21">
        <f t="shared" si="9"/>
        <v>1043.8350090702802</v>
      </c>
      <c r="AY13" s="36">
        <v>12</v>
      </c>
      <c r="AZ13" s="21">
        <f t="shared" si="10"/>
        <v>16.892034258788225</v>
      </c>
      <c r="BA13">
        <f t="shared" si="11"/>
        <v>17632.496733737691</v>
      </c>
      <c r="BB13" s="21">
        <f t="shared" si="12"/>
        <v>34855.774383397315</v>
      </c>
    </row>
    <row r="14" spans="1:54" x14ac:dyDescent="0.55000000000000004">
      <c r="A14" s="1" t="s">
        <v>10</v>
      </c>
      <c r="B14" s="1" t="s">
        <v>57</v>
      </c>
      <c r="C14" s="1" t="s">
        <v>1</v>
      </c>
      <c r="D14" s="2">
        <v>45</v>
      </c>
      <c r="E14" s="1">
        <v>579</v>
      </c>
      <c r="G14" t="s">
        <v>58</v>
      </c>
      <c r="AB14" s="39">
        <v>37.14</v>
      </c>
      <c r="AC14" s="21">
        <f>-31.26*AB14+1947</f>
        <v>786.00360000000001</v>
      </c>
      <c r="AD14" s="36">
        <v>12</v>
      </c>
      <c r="AE14" s="21">
        <f t="shared" si="1"/>
        <v>25.14</v>
      </c>
      <c r="AF14">
        <f t="shared" si="2"/>
        <v>19760.130504000001</v>
      </c>
      <c r="AG14" s="21"/>
      <c r="AI14" s="39">
        <v>14</v>
      </c>
      <c r="AJ14" s="21">
        <f>-31.26*AI14+1947</f>
        <v>1509.36</v>
      </c>
      <c r="AK14" s="36">
        <v>12</v>
      </c>
      <c r="AL14" s="21">
        <f t="shared" si="4"/>
        <v>2</v>
      </c>
      <c r="AM14">
        <f t="shared" si="5"/>
        <v>3018.72</v>
      </c>
      <c r="AP14" s="39">
        <v>24</v>
      </c>
      <c r="AQ14" s="21">
        <f>-31.26*AP14+1947</f>
        <v>1196.76</v>
      </c>
      <c r="AR14" s="36">
        <v>12</v>
      </c>
      <c r="AS14" s="21">
        <f t="shared" si="7"/>
        <v>12</v>
      </c>
      <c r="AT14">
        <f t="shared" si="8"/>
        <v>14361.119999999999</v>
      </c>
      <c r="AW14" s="39">
        <v>28.892034258788225</v>
      </c>
      <c r="AX14" s="21">
        <f>-31.26*AW14+1947</f>
        <v>1043.8350090702802</v>
      </c>
      <c r="AY14" s="36">
        <v>12</v>
      </c>
      <c r="AZ14" s="21">
        <f t="shared" si="10"/>
        <v>16.892034258788225</v>
      </c>
      <c r="BA14">
        <f t="shared" si="11"/>
        <v>17632.496733737691</v>
      </c>
      <c r="BB14" s="21">
        <f t="shared" si="12"/>
        <v>34855.774383397315</v>
      </c>
    </row>
    <row r="15" spans="1:54" x14ac:dyDescent="0.55000000000000004">
      <c r="A15" s="1" t="s">
        <v>10</v>
      </c>
      <c r="B15" s="1" t="s">
        <v>57</v>
      </c>
      <c r="C15" s="1" t="s">
        <v>2</v>
      </c>
      <c r="D15" s="2">
        <v>45</v>
      </c>
      <c r="E15" s="1">
        <v>496</v>
      </c>
      <c r="G15" t="str">
        <f>"8.  Unit cost for the product is $"&amp;B5&amp;", what is the unit contribution at the optimal price?"</f>
        <v>8.  Unit cost for the product is $12, what is the unit contribution at the optimal price?</v>
      </c>
      <c r="AB15" s="39">
        <v>37.14</v>
      </c>
      <c r="AC15" s="21">
        <f t="shared" si="0"/>
        <v>786.00360000000001</v>
      </c>
      <c r="AD15" s="36">
        <v>12</v>
      </c>
      <c r="AE15" s="21">
        <f t="shared" si="1"/>
        <v>25.14</v>
      </c>
      <c r="AF15">
        <f t="shared" si="2"/>
        <v>19760.130504000001</v>
      </c>
      <c r="AG15" s="21"/>
      <c r="AI15" s="39">
        <v>14</v>
      </c>
      <c r="AJ15" s="21">
        <f t="shared" si="3"/>
        <v>1509.36</v>
      </c>
      <c r="AK15" s="36">
        <v>12</v>
      </c>
      <c r="AL15" s="21">
        <f t="shared" si="4"/>
        <v>2</v>
      </c>
      <c r="AM15">
        <f t="shared" si="5"/>
        <v>3018.72</v>
      </c>
      <c r="AP15" s="39">
        <v>24</v>
      </c>
      <c r="AQ15" s="21">
        <f t="shared" si="6"/>
        <v>1196.76</v>
      </c>
      <c r="AR15" s="36">
        <v>12</v>
      </c>
      <c r="AS15" s="21">
        <f t="shared" si="7"/>
        <v>12</v>
      </c>
      <c r="AT15">
        <f t="shared" si="8"/>
        <v>14361.119999999999</v>
      </c>
      <c r="AW15" s="39">
        <v>28.892034258788225</v>
      </c>
      <c r="AX15" s="21">
        <f t="shared" si="9"/>
        <v>1043.8350090702802</v>
      </c>
      <c r="AY15" s="36">
        <v>12</v>
      </c>
      <c r="AZ15" s="21">
        <f t="shared" si="10"/>
        <v>16.892034258788225</v>
      </c>
      <c r="BA15">
        <f t="shared" si="11"/>
        <v>17632.496733737691</v>
      </c>
      <c r="BB15" s="21">
        <f t="shared" si="12"/>
        <v>34855.774383397315</v>
      </c>
    </row>
    <row r="16" spans="1:54" x14ac:dyDescent="0.55000000000000004">
      <c r="A16" s="1" t="s">
        <v>10</v>
      </c>
      <c r="B16" s="1" t="s">
        <v>57</v>
      </c>
      <c r="C16" s="1" t="s">
        <v>3</v>
      </c>
      <c r="D16" s="2">
        <v>45</v>
      </c>
      <c r="E16" s="1">
        <v>526</v>
      </c>
      <c r="G16" t="s">
        <v>59</v>
      </c>
      <c r="AB16" s="39">
        <v>37.14</v>
      </c>
      <c r="AC16" s="21">
        <f t="shared" si="0"/>
        <v>786.00360000000001</v>
      </c>
      <c r="AD16" s="36">
        <v>12</v>
      </c>
      <c r="AE16" s="21">
        <f t="shared" si="1"/>
        <v>25.14</v>
      </c>
      <c r="AF16">
        <f t="shared" si="2"/>
        <v>19760.130504000001</v>
      </c>
      <c r="AG16" s="21"/>
      <c r="AI16" s="39">
        <v>14</v>
      </c>
      <c r="AJ16" s="21">
        <f t="shared" si="3"/>
        <v>1509.36</v>
      </c>
      <c r="AK16" s="36">
        <v>12</v>
      </c>
      <c r="AL16" s="21">
        <f t="shared" si="4"/>
        <v>2</v>
      </c>
      <c r="AM16">
        <f t="shared" si="5"/>
        <v>3018.72</v>
      </c>
      <c r="AP16" s="39">
        <v>24</v>
      </c>
      <c r="AQ16" s="21">
        <f t="shared" si="6"/>
        <v>1196.76</v>
      </c>
      <c r="AR16" s="36">
        <v>12</v>
      </c>
      <c r="AS16" s="21">
        <f t="shared" si="7"/>
        <v>12</v>
      </c>
      <c r="AT16">
        <f t="shared" si="8"/>
        <v>14361.119999999999</v>
      </c>
      <c r="AW16" s="39">
        <v>28.892034258788225</v>
      </c>
      <c r="AX16" s="21">
        <f t="shared" si="9"/>
        <v>1043.8350090702802</v>
      </c>
      <c r="AY16" s="36">
        <v>12</v>
      </c>
      <c r="AZ16" s="21">
        <f t="shared" si="10"/>
        <v>16.892034258788225</v>
      </c>
      <c r="BA16">
        <f t="shared" si="11"/>
        <v>17632.496733737691</v>
      </c>
      <c r="BB16" s="21">
        <f t="shared" si="12"/>
        <v>34855.774383397315</v>
      </c>
    </row>
    <row r="17" spans="1:54" x14ac:dyDescent="0.55000000000000004">
      <c r="A17" s="1" t="s">
        <v>10</v>
      </c>
      <c r="B17" s="1" t="s">
        <v>57</v>
      </c>
      <c r="C17" s="1" t="s">
        <v>4</v>
      </c>
      <c r="D17" s="2">
        <v>45</v>
      </c>
      <c r="E17" s="1">
        <v>584</v>
      </c>
      <c r="G17" t="s">
        <v>60</v>
      </c>
      <c r="AB17" s="39">
        <v>37.14</v>
      </c>
      <c r="AC17" s="21">
        <f t="shared" si="0"/>
        <v>786.00360000000001</v>
      </c>
      <c r="AD17" s="36">
        <v>12</v>
      </c>
      <c r="AE17" s="21">
        <f t="shared" si="1"/>
        <v>25.14</v>
      </c>
      <c r="AF17">
        <f t="shared" si="2"/>
        <v>19760.130504000001</v>
      </c>
      <c r="AG17" s="21"/>
      <c r="AI17" s="39">
        <v>14</v>
      </c>
      <c r="AJ17" s="21">
        <f t="shared" si="3"/>
        <v>1509.36</v>
      </c>
      <c r="AK17" s="36">
        <v>12</v>
      </c>
      <c r="AL17" s="21">
        <f t="shared" si="4"/>
        <v>2</v>
      </c>
      <c r="AM17">
        <f t="shared" si="5"/>
        <v>3018.72</v>
      </c>
      <c r="AP17" s="39">
        <v>24</v>
      </c>
      <c r="AQ17" s="21">
        <f t="shared" si="6"/>
        <v>1196.76</v>
      </c>
      <c r="AR17" s="36">
        <v>12</v>
      </c>
      <c r="AS17" s="21">
        <f t="shared" si="7"/>
        <v>12</v>
      </c>
      <c r="AT17">
        <f t="shared" si="8"/>
        <v>14361.119999999999</v>
      </c>
      <c r="AW17" s="39">
        <v>28.892034258788225</v>
      </c>
      <c r="AX17" s="21">
        <f t="shared" si="9"/>
        <v>1043.8350090702802</v>
      </c>
      <c r="AY17" s="36">
        <v>12</v>
      </c>
      <c r="AZ17" s="21">
        <f t="shared" si="10"/>
        <v>16.892034258788225</v>
      </c>
      <c r="BA17">
        <f t="shared" si="11"/>
        <v>17632.496733737691</v>
      </c>
      <c r="BB17" s="21">
        <f t="shared" si="12"/>
        <v>34855.774383397315</v>
      </c>
    </row>
    <row r="18" spans="1:54" x14ac:dyDescent="0.55000000000000004">
      <c r="A18" s="1" t="s">
        <v>10</v>
      </c>
      <c r="B18" s="1" t="s">
        <v>57</v>
      </c>
      <c r="C18" s="1" t="s">
        <v>5</v>
      </c>
      <c r="D18" s="2">
        <v>45</v>
      </c>
      <c r="E18" s="1">
        <v>411</v>
      </c>
      <c r="AB18" s="39">
        <v>37.14</v>
      </c>
      <c r="AC18" s="21">
        <f t="shared" si="0"/>
        <v>786.00360000000001</v>
      </c>
      <c r="AD18" s="36">
        <v>12</v>
      </c>
      <c r="AE18" s="21">
        <f t="shared" si="1"/>
        <v>25.14</v>
      </c>
      <c r="AF18">
        <f t="shared" si="2"/>
        <v>19760.130504000001</v>
      </c>
      <c r="AG18" s="21"/>
      <c r="AI18" s="39">
        <v>14</v>
      </c>
      <c r="AJ18" s="21">
        <f t="shared" si="3"/>
        <v>1509.36</v>
      </c>
      <c r="AK18" s="36">
        <v>12</v>
      </c>
      <c r="AL18" s="21">
        <f t="shared" si="4"/>
        <v>2</v>
      </c>
      <c r="AM18">
        <f t="shared" si="5"/>
        <v>3018.72</v>
      </c>
      <c r="AP18" s="39">
        <v>24</v>
      </c>
      <c r="AQ18" s="21">
        <f t="shared" si="6"/>
        <v>1196.76</v>
      </c>
      <c r="AR18" s="36">
        <v>12</v>
      </c>
      <c r="AS18" s="21">
        <f t="shared" si="7"/>
        <v>12</v>
      </c>
      <c r="AT18">
        <f t="shared" si="8"/>
        <v>14361.119999999999</v>
      </c>
      <c r="AW18" s="39">
        <v>28.892034258788225</v>
      </c>
      <c r="AX18" s="21">
        <f t="shared" si="9"/>
        <v>1043.8350090702802</v>
      </c>
      <c r="AY18" s="36">
        <v>12</v>
      </c>
      <c r="AZ18" s="21">
        <f t="shared" si="10"/>
        <v>16.892034258788225</v>
      </c>
      <c r="BA18">
        <f t="shared" si="11"/>
        <v>17632.496733737691</v>
      </c>
      <c r="BB18" s="21">
        <f t="shared" si="12"/>
        <v>34855.774383397315</v>
      </c>
    </row>
    <row r="19" spans="1:54" x14ac:dyDescent="0.55000000000000004">
      <c r="A19" s="1" t="s">
        <v>10</v>
      </c>
      <c r="B19" s="1" t="s">
        <v>57</v>
      </c>
      <c r="C19" s="1" t="s">
        <v>6</v>
      </c>
      <c r="D19" s="2">
        <v>45</v>
      </c>
      <c r="E19" s="1">
        <v>542</v>
      </c>
      <c r="G19" s="7" t="s">
        <v>34</v>
      </c>
      <c r="AB19" s="39">
        <v>37.14</v>
      </c>
      <c r="AC19" s="21">
        <f t="shared" si="0"/>
        <v>786.00360000000001</v>
      </c>
      <c r="AD19" s="36">
        <v>12</v>
      </c>
      <c r="AE19" s="21">
        <f t="shared" si="1"/>
        <v>25.14</v>
      </c>
      <c r="AF19">
        <f t="shared" si="2"/>
        <v>19760.130504000001</v>
      </c>
      <c r="AG19" s="21"/>
      <c r="AI19" s="39">
        <v>14</v>
      </c>
      <c r="AJ19" s="21">
        <f t="shared" si="3"/>
        <v>1509.36</v>
      </c>
      <c r="AK19" s="36">
        <v>12</v>
      </c>
      <c r="AL19" s="21">
        <f t="shared" si="4"/>
        <v>2</v>
      </c>
      <c r="AM19">
        <f t="shared" si="5"/>
        <v>3018.72</v>
      </c>
      <c r="AP19" s="39">
        <v>24</v>
      </c>
      <c r="AQ19" s="21">
        <f t="shared" si="6"/>
        <v>1196.76</v>
      </c>
      <c r="AR19" s="36">
        <v>12</v>
      </c>
      <c r="AS19" s="21">
        <f t="shared" si="7"/>
        <v>12</v>
      </c>
      <c r="AT19">
        <f t="shared" si="8"/>
        <v>14361.119999999999</v>
      </c>
      <c r="AW19" s="39">
        <v>28.892034258788225</v>
      </c>
      <c r="AX19" s="21">
        <f t="shared" si="9"/>
        <v>1043.8350090702802</v>
      </c>
      <c r="AY19" s="36">
        <v>12</v>
      </c>
      <c r="AZ19" s="21">
        <f t="shared" si="10"/>
        <v>16.892034258788225</v>
      </c>
      <c r="BA19">
        <f t="shared" si="11"/>
        <v>17632.496733737691</v>
      </c>
      <c r="BB19" s="21">
        <f t="shared" si="12"/>
        <v>34855.774383397315</v>
      </c>
    </row>
    <row r="20" spans="1:54" x14ac:dyDescent="0.55000000000000004">
      <c r="A20" s="1" t="s">
        <v>10</v>
      </c>
      <c r="B20" s="1" t="s">
        <v>61</v>
      </c>
      <c r="C20" s="1" t="s">
        <v>1</v>
      </c>
      <c r="D20" s="2">
        <v>45</v>
      </c>
      <c r="E20" s="1">
        <v>576</v>
      </c>
      <c r="G20" t="s">
        <v>33</v>
      </c>
      <c r="AB20" s="39">
        <v>37.14</v>
      </c>
      <c r="AC20" s="21">
        <f t="shared" si="0"/>
        <v>786.00360000000001</v>
      </c>
      <c r="AD20" s="36">
        <v>12</v>
      </c>
      <c r="AE20" s="21">
        <f t="shared" si="1"/>
        <v>25.14</v>
      </c>
      <c r="AF20">
        <f t="shared" si="2"/>
        <v>19760.130504000001</v>
      </c>
      <c r="AG20" s="21"/>
      <c r="AI20" s="39">
        <v>14</v>
      </c>
      <c r="AJ20" s="21">
        <f t="shared" si="3"/>
        <v>1509.36</v>
      </c>
      <c r="AK20" s="36">
        <v>12</v>
      </c>
      <c r="AL20" s="21">
        <f t="shared" si="4"/>
        <v>2</v>
      </c>
      <c r="AM20">
        <f t="shared" si="5"/>
        <v>3018.72</v>
      </c>
      <c r="AP20" s="39">
        <v>24</v>
      </c>
      <c r="AQ20" s="21">
        <f t="shared" si="6"/>
        <v>1196.76</v>
      </c>
      <c r="AR20" s="36">
        <v>12</v>
      </c>
      <c r="AS20" s="21">
        <f t="shared" si="7"/>
        <v>12</v>
      </c>
      <c r="AT20">
        <f t="shared" si="8"/>
        <v>14361.119999999999</v>
      </c>
      <c r="AW20" s="39">
        <v>28.892034258788225</v>
      </c>
      <c r="AX20" s="21">
        <f t="shared" si="9"/>
        <v>1043.8350090702802</v>
      </c>
      <c r="AY20" s="36">
        <v>12</v>
      </c>
      <c r="AZ20" s="21">
        <f t="shared" si="10"/>
        <v>16.892034258788225</v>
      </c>
      <c r="BA20">
        <f t="shared" si="11"/>
        <v>17632.496733737691</v>
      </c>
      <c r="BB20" s="21">
        <f t="shared" si="12"/>
        <v>34855.774383397315</v>
      </c>
    </row>
    <row r="21" spans="1:54" x14ac:dyDescent="0.55000000000000004">
      <c r="A21" s="1" t="s">
        <v>10</v>
      </c>
      <c r="B21" s="1" t="s">
        <v>61</v>
      </c>
      <c r="C21" s="1" t="s">
        <v>2</v>
      </c>
      <c r="D21" s="2">
        <v>45</v>
      </c>
      <c r="E21" s="1">
        <v>486</v>
      </c>
      <c r="G21" t="s">
        <v>62</v>
      </c>
      <c r="AB21" s="39">
        <v>37.14</v>
      </c>
      <c r="AC21" s="21">
        <f t="shared" si="0"/>
        <v>786.00360000000001</v>
      </c>
      <c r="AD21" s="36">
        <v>12</v>
      </c>
      <c r="AE21" s="21">
        <f t="shared" si="1"/>
        <v>25.14</v>
      </c>
      <c r="AF21">
        <f t="shared" si="2"/>
        <v>19760.130504000001</v>
      </c>
      <c r="AG21" s="21"/>
      <c r="AI21" s="39">
        <v>14</v>
      </c>
      <c r="AJ21" s="21">
        <f t="shared" si="3"/>
        <v>1509.36</v>
      </c>
      <c r="AK21" s="36">
        <v>12</v>
      </c>
      <c r="AL21" s="21">
        <f t="shared" si="4"/>
        <v>2</v>
      </c>
      <c r="AM21">
        <f t="shared" si="5"/>
        <v>3018.72</v>
      </c>
      <c r="AP21" s="39">
        <v>24</v>
      </c>
      <c r="AQ21" s="21">
        <f t="shared" si="6"/>
        <v>1196.76</v>
      </c>
      <c r="AR21" s="36">
        <v>12</v>
      </c>
      <c r="AS21" s="21">
        <f t="shared" si="7"/>
        <v>12</v>
      </c>
      <c r="AT21">
        <f t="shared" si="8"/>
        <v>14361.119999999999</v>
      </c>
      <c r="AW21" s="39">
        <v>28.892034258788225</v>
      </c>
      <c r="AX21" s="21">
        <f t="shared" si="9"/>
        <v>1043.8350090702802</v>
      </c>
      <c r="AY21" s="36">
        <v>12</v>
      </c>
      <c r="AZ21" s="21">
        <f t="shared" si="10"/>
        <v>16.892034258788225</v>
      </c>
      <c r="BA21">
        <f t="shared" si="11"/>
        <v>17632.496733737691</v>
      </c>
      <c r="BB21" s="21">
        <f t="shared" si="12"/>
        <v>34855.774383397315</v>
      </c>
    </row>
    <row r="22" spans="1:54" x14ac:dyDescent="0.55000000000000004">
      <c r="A22" s="1" t="s">
        <v>10</v>
      </c>
      <c r="B22" s="1" t="s">
        <v>61</v>
      </c>
      <c r="C22" s="1" t="s">
        <v>3</v>
      </c>
      <c r="D22" s="2">
        <v>45</v>
      </c>
      <c r="E22" s="1">
        <v>539</v>
      </c>
      <c r="AB22" s="39">
        <v>37.14</v>
      </c>
      <c r="AC22" s="21">
        <f t="shared" si="0"/>
        <v>786.00360000000001</v>
      </c>
      <c r="AD22" s="36">
        <v>12</v>
      </c>
      <c r="AE22" s="21">
        <f t="shared" si="1"/>
        <v>25.14</v>
      </c>
      <c r="AF22">
        <f t="shared" si="2"/>
        <v>19760.130504000001</v>
      </c>
      <c r="AG22" s="21"/>
      <c r="AI22" s="39">
        <v>14</v>
      </c>
      <c r="AJ22" s="21">
        <f t="shared" si="3"/>
        <v>1509.36</v>
      </c>
      <c r="AK22" s="36">
        <v>12</v>
      </c>
      <c r="AL22" s="21">
        <f t="shared" si="4"/>
        <v>2</v>
      </c>
      <c r="AM22">
        <f t="shared" si="5"/>
        <v>3018.72</v>
      </c>
      <c r="AP22" s="39">
        <v>24</v>
      </c>
      <c r="AQ22" s="21">
        <f t="shared" si="6"/>
        <v>1196.76</v>
      </c>
      <c r="AR22" s="36">
        <v>12</v>
      </c>
      <c r="AS22" s="21">
        <f t="shared" si="7"/>
        <v>12</v>
      </c>
      <c r="AT22">
        <f t="shared" si="8"/>
        <v>14361.119999999999</v>
      </c>
      <c r="AW22" s="39">
        <v>28.892034258788225</v>
      </c>
      <c r="AX22" s="21">
        <f t="shared" si="9"/>
        <v>1043.8350090702802</v>
      </c>
      <c r="AY22" s="36">
        <v>12</v>
      </c>
      <c r="AZ22" s="21">
        <f t="shared" si="10"/>
        <v>16.892034258788225</v>
      </c>
      <c r="BA22">
        <f t="shared" si="11"/>
        <v>17632.496733737691</v>
      </c>
      <c r="BB22" s="21">
        <f t="shared" si="12"/>
        <v>34855.774383397315</v>
      </c>
    </row>
    <row r="23" spans="1:54" x14ac:dyDescent="0.55000000000000004">
      <c r="A23" s="1" t="s">
        <v>10</v>
      </c>
      <c r="B23" s="1" t="s">
        <v>61</v>
      </c>
      <c r="C23" s="1" t="s">
        <v>4</v>
      </c>
      <c r="D23" s="2">
        <v>45</v>
      </c>
      <c r="E23" s="1">
        <v>548</v>
      </c>
      <c r="G23" t="s">
        <v>32</v>
      </c>
      <c r="AB23" s="39">
        <v>37.14</v>
      </c>
      <c r="AC23" s="21">
        <f t="shared" si="0"/>
        <v>786.00360000000001</v>
      </c>
      <c r="AD23" s="36">
        <v>12</v>
      </c>
      <c r="AE23" s="21">
        <f t="shared" si="1"/>
        <v>25.14</v>
      </c>
      <c r="AF23">
        <f t="shared" si="2"/>
        <v>19760.130504000001</v>
      </c>
      <c r="AG23" s="21"/>
      <c r="AI23" s="39">
        <v>14</v>
      </c>
      <c r="AJ23" s="21">
        <f t="shared" si="3"/>
        <v>1509.36</v>
      </c>
      <c r="AK23" s="36">
        <v>12</v>
      </c>
      <c r="AL23" s="21">
        <f t="shared" si="4"/>
        <v>2</v>
      </c>
      <c r="AM23">
        <f t="shared" si="5"/>
        <v>3018.72</v>
      </c>
      <c r="AP23" s="39">
        <v>24</v>
      </c>
      <c r="AQ23" s="21">
        <f t="shared" si="6"/>
        <v>1196.76</v>
      </c>
      <c r="AR23" s="36">
        <v>12</v>
      </c>
      <c r="AS23" s="21">
        <f t="shared" si="7"/>
        <v>12</v>
      </c>
      <c r="AT23">
        <f t="shared" si="8"/>
        <v>14361.119999999999</v>
      </c>
      <c r="AW23" s="39">
        <v>28.892034258788225</v>
      </c>
      <c r="AX23" s="21">
        <f t="shared" si="9"/>
        <v>1043.8350090702802</v>
      </c>
      <c r="AY23" s="36">
        <v>12</v>
      </c>
      <c r="AZ23" s="21">
        <f t="shared" si="10"/>
        <v>16.892034258788225</v>
      </c>
      <c r="BA23">
        <f t="shared" si="11"/>
        <v>17632.496733737691</v>
      </c>
      <c r="BB23" s="21">
        <f t="shared" si="12"/>
        <v>34855.774383397315</v>
      </c>
    </row>
    <row r="24" spans="1:54" x14ac:dyDescent="0.55000000000000004">
      <c r="A24" s="1" t="s">
        <v>10</v>
      </c>
      <c r="B24" s="1" t="s">
        <v>61</v>
      </c>
      <c r="C24" s="1" t="s">
        <v>5</v>
      </c>
      <c r="D24" s="2">
        <v>45</v>
      </c>
      <c r="E24" s="1">
        <v>425</v>
      </c>
      <c r="G24" t="s">
        <v>31</v>
      </c>
      <c r="AB24" s="39">
        <v>37.14</v>
      </c>
      <c r="AC24" s="21">
        <f t="shared" si="0"/>
        <v>786.00360000000001</v>
      </c>
      <c r="AD24" s="36">
        <v>12</v>
      </c>
      <c r="AE24" s="21">
        <f t="shared" si="1"/>
        <v>25.14</v>
      </c>
      <c r="AF24">
        <f t="shared" si="2"/>
        <v>19760.130504000001</v>
      </c>
      <c r="AG24" s="21"/>
      <c r="AI24" s="39">
        <v>14</v>
      </c>
      <c r="AJ24" s="21">
        <f t="shared" si="3"/>
        <v>1509.36</v>
      </c>
      <c r="AK24" s="36">
        <v>12</v>
      </c>
      <c r="AL24" s="21">
        <f t="shared" si="4"/>
        <v>2</v>
      </c>
      <c r="AM24">
        <f t="shared" si="5"/>
        <v>3018.72</v>
      </c>
      <c r="AP24" s="39">
        <v>24</v>
      </c>
      <c r="AQ24" s="21">
        <f t="shared" si="6"/>
        <v>1196.76</v>
      </c>
      <c r="AR24" s="36">
        <v>12</v>
      </c>
      <c r="AS24" s="21">
        <f t="shared" si="7"/>
        <v>12</v>
      </c>
      <c r="AT24">
        <f t="shared" si="8"/>
        <v>14361.119999999999</v>
      </c>
      <c r="AW24" s="39">
        <v>28.892034258788225</v>
      </c>
      <c r="AX24" s="21">
        <f t="shared" si="9"/>
        <v>1043.8350090702802</v>
      </c>
      <c r="AY24" s="36">
        <v>12</v>
      </c>
      <c r="AZ24" s="21">
        <f t="shared" si="10"/>
        <v>16.892034258788225</v>
      </c>
      <c r="BA24">
        <f t="shared" si="11"/>
        <v>17632.496733737691</v>
      </c>
      <c r="BB24" s="21">
        <f t="shared" si="12"/>
        <v>34855.774383397315</v>
      </c>
    </row>
    <row r="25" spans="1:54" x14ac:dyDescent="0.55000000000000004">
      <c r="A25" s="1" t="s">
        <v>10</v>
      </c>
      <c r="B25" s="1" t="s">
        <v>61</v>
      </c>
      <c r="C25" s="1" t="s">
        <v>6</v>
      </c>
      <c r="D25" s="2">
        <v>45</v>
      </c>
      <c r="E25" s="1">
        <v>432</v>
      </c>
      <c r="G25" t="s">
        <v>30</v>
      </c>
      <c r="AB25" s="39">
        <v>37.14</v>
      </c>
      <c r="AC25" s="21">
        <f t="shared" si="0"/>
        <v>786.00360000000001</v>
      </c>
      <c r="AD25" s="36">
        <v>12</v>
      </c>
      <c r="AE25" s="21">
        <f t="shared" si="1"/>
        <v>25.14</v>
      </c>
      <c r="AF25">
        <f t="shared" si="2"/>
        <v>19760.130504000001</v>
      </c>
      <c r="AG25" s="21"/>
      <c r="AI25" s="39">
        <v>14</v>
      </c>
      <c r="AJ25" s="21">
        <f t="shared" si="3"/>
        <v>1509.36</v>
      </c>
      <c r="AK25" s="36">
        <v>12</v>
      </c>
      <c r="AL25" s="21">
        <f t="shared" si="4"/>
        <v>2</v>
      </c>
      <c r="AM25">
        <f t="shared" si="5"/>
        <v>3018.72</v>
      </c>
      <c r="AP25" s="39">
        <v>24</v>
      </c>
      <c r="AQ25" s="21">
        <f t="shared" si="6"/>
        <v>1196.76</v>
      </c>
      <c r="AR25" s="36">
        <v>12</v>
      </c>
      <c r="AS25" s="21">
        <f t="shared" si="7"/>
        <v>12</v>
      </c>
      <c r="AT25">
        <f t="shared" si="8"/>
        <v>14361.119999999999</v>
      </c>
      <c r="AW25" s="39">
        <v>28.892034258788225</v>
      </c>
      <c r="AX25" s="21">
        <f t="shared" si="9"/>
        <v>1043.8350090702802</v>
      </c>
      <c r="AY25" s="36">
        <v>12</v>
      </c>
      <c r="AZ25" s="21">
        <f t="shared" si="10"/>
        <v>16.892034258788225</v>
      </c>
      <c r="BA25">
        <f t="shared" si="11"/>
        <v>17632.496733737691</v>
      </c>
      <c r="BB25" s="21">
        <f t="shared" si="12"/>
        <v>34855.774383397315</v>
      </c>
    </row>
    <row r="26" spans="1:54" x14ac:dyDescent="0.55000000000000004">
      <c r="A26" s="1" t="s">
        <v>10</v>
      </c>
      <c r="B26" s="1" t="s">
        <v>63</v>
      </c>
      <c r="C26" s="1" t="s">
        <v>1</v>
      </c>
      <c r="D26" s="2">
        <v>45</v>
      </c>
      <c r="E26" s="1">
        <v>530</v>
      </c>
      <c r="AB26" s="39">
        <v>37.14</v>
      </c>
      <c r="AC26" s="21">
        <f t="shared" si="0"/>
        <v>786.00360000000001</v>
      </c>
      <c r="AD26" s="36">
        <v>12</v>
      </c>
      <c r="AE26" s="21">
        <f t="shared" si="1"/>
        <v>25.14</v>
      </c>
      <c r="AF26">
        <f t="shared" si="2"/>
        <v>19760.130504000001</v>
      </c>
      <c r="AG26" s="21"/>
      <c r="AI26" s="39">
        <v>14</v>
      </c>
      <c r="AJ26" s="21">
        <f t="shared" si="3"/>
        <v>1509.36</v>
      </c>
      <c r="AK26" s="36">
        <v>12</v>
      </c>
      <c r="AL26" s="21">
        <f t="shared" si="4"/>
        <v>2</v>
      </c>
      <c r="AM26">
        <f t="shared" si="5"/>
        <v>3018.72</v>
      </c>
      <c r="AP26" s="39">
        <v>24</v>
      </c>
      <c r="AQ26" s="21">
        <f t="shared" si="6"/>
        <v>1196.76</v>
      </c>
      <c r="AR26" s="36">
        <v>12</v>
      </c>
      <c r="AS26" s="21">
        <f t="shared" si="7"/>
        <v>12</v>
      </c>
      <c r="AT26">
        <f t="shared" si="8"/>
        <v>14361.119999999999</v>
      </c>
      <c r="AW26" s="39">
        <v>28.892034258788225</v>
      </c>
      <c r="AX26" s="21">
        <f t="shared" si="9"/>
        <v>1043.8350090702802</v>
      </c>
      <c r="AY26" s="36">
        <v>12</v>
      </c>
      <c r="AZ26" s="21">
        <f t="shared" si="10"/>
        <v>16.892034258788225</v>
      </c>
      <c r="BA26">
        <f t="shared" si="11"/>
        <v>17632.496733737691</v>
      </c>
      <c r="BB26" s="21">
        <f t="shared" si="12"/>
        <v>34855.774383397315</v>
      </c>
    </row>
    <row r="27" spans="1:54" x14ac:dyDescent="0.55000000000000004">
      <c r="A27" s="1" t="s">
        <v>10</v>
      </c>
      <c r="B27" s="1" t="s">
        <v>63</v>
      </c>
      <c r="C27" s="1" t="s">
        <v>2</v>
      </c>
      <c r="D27" s="2">
        <v>45</v>
      </c>
      <c r="E27" s="1">
        <v>520</v>
      </c>
      <c r="G27" s="7" t="s">
        <v>29</v>
      </c>
      <c r="R27" t="s">
        <v>73</v>
      </c>
      <c r="S27" t="s">
        <v>74</v>
      </c>
      <c r="T27">
        <f>SLOPE(T9:T11,S9:S11)</f>
        <v>-31.266666666666662</v>
      </c>
      <c r="AB27" s="39">
        <v>37.14</v>
      </c>
      <c r="AC27" s="21">
        <f t="shared" si="0"/>
        <v>786.00360000000001</v>
      </c>
      <c r="AD27" s="36">
        <v>12</v>
      </c>
      <c r="AE27" s="21">
        <f t="shared" si="1"/>
        <v>25.14</v>
      </c>
      <c r="AF27">
        <f t="shared" si="2"/>
        <v>19760.130504000001</v>
      </c>
      <c r="AG27" s="21"/>
      <c r="AI27" s="39">
        <v>14</v>
      </c>
      <c r="AJ27" s="21">
        <f t="shared" si="3"/>
        <v>1509.36</v>
      </c>
      <c r="AK27" s="36">
        <v>12</v>
      </c>
      <c r="AL27" s="21">
        <f t="shared" si="4"/>
        <v>2</v>
      </c>
      <c r="AM27">
        <f t="shared" si="5"/>
        <v>3018.72</v>
      </c>
      <c r="AP27" s="39">
        <v>24</v>
      </c>
      <c r="AQ27" s="21">
        <f t="shared" si="6"/>
        <v>1196.76</v>
      </c>
      <c r="AR27" s="36">
        <v>12</v>
      </c>
      <c r="AS27" s="21">
        <f t="shared" si="7"/>
        <v>12</v>
      </c>
      <c r="AT27">
        <f t="shared" si="8"/>
        <v>14361.119999999999</v>
      </c>
      <c r="AW27" s="39">
        <v>28.892034258788225</v>
      </c>
      <c r="AX27" s="21">
        <f t="shared" si="9"/>
        <v>1043.8350090702802</v>
      </c>
      <c r="AY27" s="36">
        <v>12</v>
      </c>
      <c r="AZ27" s="21">
        <f t="shared" si="10"/>
        <v>16.892034258788225</v>
      </c>
      <c r="BA27">
        <f t="shared" si="11"/>
        <v>17632.496733737691</v>
      </c>
      <c r="BB27" s="21">
        <f t="shared" si="12"/>
        <v>34855.774383397315</v>
      </c>
    </row>
    <row r="28" spans="1:54" x14ac:dyDescent="0.55000000000000004">
      <c r="A28" s="1" t="s">
        <v>10</v>
      </c>
      <c r="B28" s="1" t="s">
        <v>63</v>
      </c>
      <c r="C28" s="1" t="s">
        <v>3</v>
      </c>
      <c r="D28" s="2">
        <v>45</v>
      </c>
      <c r="E28" s="1">
        <v>530</v>
      </c>
      <c r="G28" t="s">
        <v>28</v>
      </c>
      <c r="S28" t="s">
        <v>75</v>
      </c>
      <c r="T28">
        <f>INTERCEPT(T9:T11,S9:S11)</f>
        <v>1947.1018518518517</v>
      </c>
      <c r="AB28" s="39">
        <v>37.14</v>
      </c>
      <c r="AC28" s="21">
        <f t="shared" si="0"/>
        <v>786.00360000000001</v>
      </c>
      <c r="AD28" s="36">
        <v>12</v>
      </c>
      <c r="AE28" s="21">
        <f t="shared" si="1"/>
        <v>25.14</v>
      </c>
      <c r="AF28">
        <f t="shared" si="2"/>
        <v>19760.130504000001</v>
      </c>
      <c r="AG28" s="21"/>
      <c r="AI28" s="39">
        <v>14</v>
      </c>
      <c r="AJ28" s="21">
        <f t="shared" si="3"/>
        <v>1509.36</v>
      </c>
      <c r="AK28" s="36">
        <v>12</v>
      </c>
      <c r="AL28" s="21">
        <f t="shared" si="4"/>
        <v>2</v>
      </c>
      <c r="AM28">
        <f t="shared" si="5"/>
        <v>3018.72</v>
      </c>
      <c r="AP28" s="39">
        <v>24</v>
      </c>
      <c r="AQ28" s="21">
        <f t="shared" si="6"/>
        <v>1196.76</v>
      </c>
      <c r="AR28" s="36">
        <v>12</v>
      </c>
      <c r="AS28" s="21">
        <f t="shared" si="7"/>
        <v>12</v>
      </c>
      <c r="AT28">
        <f t="shared" si="8"/>
        <v>14361.119999999999</v>
      </c>
      <c r="AW28" s="39">
        <v>28.892034258788225</v>
      </c>
      <c r="AX28" s="21">
        <f t="shared" si="9"/>
        <v>1043.8350090702802</v>
      </c>
      <c r="AY28" s="36">
        <v>12</v>
      </c>
      <c r="AZ28" s="21">
        <f t="shared" si="10"/>
        <v>16.892034258788225</v>
      </c>
      <c r="BA28">
        <f t="shared" si="11"/>
        <v>17632.496733737691</v>
      </c>
      <c r="BB28" s="21">
        <f t="shared" si="12"/>
        <v>34855.774383397315</v>
      </c>
    </row>
    <row r="29" spans="1:54" x14ac:dyDescent="0.55000000000000004">
      <c r="A29" s="1" t="s">
        <v>10</v>
      </c>
      <c r="B29" s="1" t="s">
        <v>63</v>
      </c>
      <c r="C29" s="1" t="s">
        <v>4</v>
      </c>
      <c r="D29" s="2">
        <v>45</v>
      </c>
      <c r="E29" s="1">
        <v>592</v>
      </c>
      <c r="S29" t="s">
        <v>82</v>
      </c>
      <c r="T29">
        <f>RSQ(E8:E115,D8:D115)</f>
        <v>0.79466831875032218</v>
      </c>
      <c r="AB29" s="39">
        <v>37.14</v>
      </c>
      <c r="AC29" s="21">
        <f t="shared" si="0"/>
        <v>786.00360000000001</v>
      </c>
      <c r="AD29" s="36">
        <v>12</v>
      </c>
      <c r="AE29" s="21">
        <f t="shared" si="1"/>
        <v>25.14</v>
      </c>
      <c r="AF29">
        <f t="shared" si="2"/>
        <v>19760.130504000001</v>
      </c>
      <c r="AG29" s="21"/>
      <c r="AI29" s="39">
        <v>14</v>
      </c>
      <c r="AJ29" s="21">
        <f t="shared" si="3"/>
        <v>1509.36</v>
      </c>
      <c r="AK29" s="36">
        <v>12</v>
      </c>
      <c r="AL29" s="21">
        <f t="shared" si="4"/>
        <v>2</v>
      </c>
      <c r="AM29">
        <f t="shared" si="5"/>
        <v>3018.72</v>
      </c>
      <c r="AP29" s="39">
        <v>24</v>
      </c>
      <c r="AQ29" s="21">
        <f t="shared" si="6"/>
        <v>1196.76</v>
      </c>
      <c r="AR29" s="36">
        <v>12</v>
      </c>
      <c r="AS29" s="21">
        <f t="shared" si="7"/>
        <v>12</v>
      </c>
      <c r="AT29">
        <f t="shared" si="8"/>
        <v>14361.119999999999</v>
      </c>
      <c r="AW29" s="39">
        <v>28.892034258788225</v>
      </c>
      <c r="AX29" s="21">
        <f t="shared" si="9"/>
        <v>1043.8350090702802</v>
      </c>
      <c r="AY29" s="36">
        <v>12</v>
      </c>
      <c r="AZ29" s="21">
        <f t="shared" si="10"/>
        <v>16.892034258788225</v>
      </c>
      <c r="BA29">
        <f t="shared" si="11"/>
        <v>17632.496733737691</v>
      </c>
      <c r="BB29" s="21">
        <f t="shared" si="12"/>
        <v>34855.774383397315</v>
      </c>
    </row>
    <row r="30" spans="1:54" x14ac:dyDescent="0.55000000000000004">
      <c r="A30" s="1" t="s">
        <v>10</v>
      </c>
      <c r="B30" s="1" t="s">
        <v>63</v>
      </c>
      <c r="C30" s="1" t="s">
        <v>5</v>
      </c>
      <c r="D30" s="2">
        <v>45</v>
      </c>
      <c r="E30" s="1">
        <v>554</v>
      </c>
      <c r="G30" t="s">
        <v>27</v>
      </c>
      <c r="AB30" s="39">
        <v>37.14</v>
      </c>
      <c r="AC30" s="21">
        <f t="shared" si="0"/>
        <v>786.00360000000001</v>
      </c>
      <c r="AD30" s="36">
        <v>12</v>
      </c>
      <c r="AE30" s="21">
        <f t="shared" si="1"/>
        <v>25.14</v>
      </c>
      <c r="AF30">
        <f t="shared" si="2"/>
        <v>19760.130504000001</v>
      </c>
      <c r="AG30" s="21"/>
      <c r="AI30" s="39">
        <v>14</v>
      </c>
      <c r="AJ30" s="21">
        <f t="shared" si="3"/>
        <v>1509.36</v>
      </c>
      <c r="AK30" s="36">
        <v>12</v>
      </c>
      <c r="AL30" s="21">
        <f t="shared" si="4"/>
        <v>2</v>
      </c>
      <c r="AM30">
        <f t="shared" si="5"/>
        <v>3018.72</v>
      </c>
      <c r="AP30" s="39">
        <v>24</v>
      </c>
      <c r="AQ30" s="21">
        <f t="shared" si="6"/>
        <v>1196.76</v>
      </c>
      <c r="AR30" s="36">
        <v>12</v>
      </c>
      <c r="AS30" s="21">
        <f t="shared" si="7"/>
        <v>12</v>
      </c>
      <c r="AT30">
        <f t="shared" si="8"/>
        <v>14361.119999999999</v>
      </c>
      <c r="AW30" s="39">
        <v>28.892034258788225</v>
      </c>
      <c r="AX30" s="21">
        <f t="shared" si="9"/>
        <v>1043.8350090702802</v>
      </c>
      <c r="AY30" s="36">
        <v>12</v>
      </c>
      <c r="AZ30" s="21">
        <f t="shared" si="10"/>
        <v>16.892034258788225</v>
      </c>
      <c r="BA30">
        <f t="shared" si="11"/>
        <v>17632.496733737691</v>
      </c>
      <c r="BB30" s="21">
        <f t="shared" si="12"/>
        <v>34855.774383397315</v>
      </c>
    </row>
    <row r="31" spans="1:54" x14ac:dyDescent="0.55000000000000004">
      <c r="A31" s="1" t="s">
        <v>10</v>
      </c>
      <c r="B31" s="1" t="s">
        <v>63</v>
      </c>
      <c r="C31" s="1" t="s">
        <v>6</v>
      </c>
      <c r="D31" s="2">
        <v>45</v>
      </c>
      <c r="E31" s="1">
        <v>565</v>
      </c>
      <c r="G31" t="s">
        <v>13</v>
      </c>
      <c r="R31" t="s">
        <v>76</v>
      </c>
      <c r="S31" t="s">
        <v>77</v>
      </c>
      <c r="T31" t="s">
        <v>78</v>
      </c>
      <c r="AB31" s="39">
        <v>37.14</v>
      </c>
      <c r="AC31" s="21">
        <f t="shared" si="0"/>
        <v>786.00360000000001</v>
      </c>
      <c r="AD31" s="36">
        <v>12</v>
      </c>
      <c r="AE31" s="21">
        <f t="shared" si="1"/>
        <v>25.14</v>
      </c>
      <c r="AF31">
        <f t="shared" si="2"/>
        <v>19760.130504000001</v>
      </c>
      <c r="AG31" s="21"/>
      <c r="AI31" s="39">
        <v>14</v>
      </c>
      <c r="AJ31" s="21">
        <f t="shared" si="3"/>
        <v>1509.36</v>
      </c>
      <c r="AK31" s="36">
        <v>12</v>
      </c>
      <c r="AL31" s="21">
        <f t="shared" si="4"/>
        <v>2</v>
      </c>
      <c r="AM31">
        <f t="shared" si="5"/>
        <v>3018.72</v>
      </c>
      <c r="AP31" s="39">
        <v>24</v>
      </c>
      <c r="AQ31" s="21">
        <f t="shared" si="6"/>
        <v>1196.76</v>
      </c>
      <c r="AR31" s="36">
        <v>12</v>
      </c>
      <c r="AS31" s="21">
        <f t="shared" si="7"/>
        <v>12</v>
      </c>
      <c r="AT31">
        <f t="shared" si="8"/>
        <v>14361.119999999999</v>
      </c>
      <c r="AW31" s="39">
        <v>28.892034258788225</v>
      </c>
      <c r="AX31" s="21">
        <f t="shared" si="9"/>
        <v>1043.8350090702802</v>
      </c>
      <c r="AY31" s="36">
        <v>12</v>
      </c>
      <c r="AZ31" s="21">
        <f t="shared" si="10"/>
        <v>16.892034258788225</v>
      </c>
      <c r="BA31">
        <f t="shared" si="11"/>
        <v>17632.496733737691</v>
      </c>
      <c r="BB31" s="21">
        <f t="shared" si="12"/>
        <v>34855.774383397315</v>
      </c>
    </row>
    <row r="32" spans="1:54" x14ac:dyDescent="0.55000000000000004">
      <c r="A32" s="1" t="s">
        <v>10</v>
      </c>
      <c r="B32" s="1" t="s">
        <v>64</v>
      </c>
      <c r="C32" s="1" t="s">
        <v>1</v>
      </c>
      <c r="D32" s="2">
        <v>45</v>
      </c>
      <c r="E32" s="1">
        <v>423</v>
      </c>
      <c r="G32" t="s">
        <v>26</v>
      </c>
      <c r="S32" t="s">
        <v>79</v>
      </c>
      <c r="T32" t="s">
        <v>80</v>
      </c>
      <c r="AB32" s="39">
        <v>37.14</v>
      </c>
      <c r="AC32" s="21">
        <f t="shared" si="0"/>
        <v>786.00360000000001</v>
      </c>
      <c r="AD32" s="36">
        <v>12</v>
      </c>
      <c r="AE32" s="21">
        <f t="shared" si="1"/>
        <v>25.14</v>
      </c>
      <c r="AF32">
        <f t="shared" si="2"/>
        <v>19760.130504000001</v>
      </c>
      <c r="AG32" s="21"/>
      <c r="AI32" s="39">
        <v>14</v>
      </c>
      <c r="AJ32" s="21">
        <f t="shared" si="3"/>
        <v>1509.36</v>
      </c>
      <c r="AK32" s="36">
        <v>12</v>
      </c>
      <c r="AL32" s="21">
        <f t="shared" si="4"/>
        <v>2</v>
      </c>
      <c r="AM32">
        <f t="shared" si="5"/>
        <v>3018.72</v>
      </c>
      <c r="AP32" s="39">
        <v>24</v>
      </c>
      <c r="AQ32" s="21">
        <f t="shared" si="6"/>
        <v>1196.76</v>
      </c>
      <c r="AR32" s="36">
        <v>12</v>
      </c>
      <c r="AS32" s="21">
        <f t="shared" si="7"/>
        <v>12</v>
      </c>
      <c r="AT32">
        <f t="shared" si="8"/>
        <v>14361.119999999999</v>
      </c>
      <c r="AW32" s="39">
        <v>28.892034258788225</v>
      </c>
      <c r="AX32" s="21">
        <f t="shared" si="9"/>
        <v>1043.8350090702802</v>
      </c>
      <c r="AY32" s="36">
        <v>12</v>
      </c>
      <c r="AZ32" s="21">
        <f t="shared" si="10"/>
        <v>16.892034258788225</v>
      </c>
      <c r="BA32">
        <f t="shared" si="11"/>
        <v>17632.496733737691</v>
      </c>
      <c r="BB32" s="21">
        <f t="shared" si="12"/>
        <v>34855.774383397315</v>
      </c>
    </row>
    <row r="33" spans="1:54" x14ac:dyDescent="0.55000000000000004">
      <c r="A33" s="1" t="s">
        <v>10</v>
      </c>
      <c r="B33" s="1" t="s">
        <v>64</v>
      </c>
      <c r="C33" s="1" t="s">
        <v>2</v>
      </c>
      <c r="D33" s="2">
        <v>45</v>
      </c>
      <c r="E33" s="1">
        <v>449</v>
      </c>
      <c r="G33" t="s">
        <v>14</v>
      </c>
      <c r="S33" t="s">
        <v>81</v>
      </c>
      <c r="AB33" s="39">
        <v>37.14</v>
      </c>
      <c r="AC33" s="21">
        <f t="shared" si="0"/>
        <v>786.00360000000001</v>
      </c>
      <c r="AD33" s="36">
        <v>12</v>
      </c>
      <c r="AE33" s="21">
        <f t="shared" si="1"/>
        <v>25.14</v>
      </c>
      <c r="AF33">
        <f t="shared" si="2"/>
        <v>19760.130504000001</v>
      </c>
      <c r="AG33" s="21"/>
      <c r="AI33" s="39">
        <v>14</v>
      </c>
      <c r="AJ33" s="21">
        <f t="shared" si="3"/>
        <v>1509.36</v>
      </c>
      <c r="AK33" s="36">
        <v>12</v>
      </c>
      <c r="AL33" s="21">
        <f t="shared" si="4"/>
        <v>2</v>
      </c>
      <c r="AM33">
        <f t="shared" si="5"/>
        <v>3018.72</v>
      </c>
      <c r="AP33" s="39">
        <v>24</v>
      </c>
      <c r="AQ33" s="21">
        <f t="shared" si="6"/>
        <v>1196.76</v>
      </c>
      <c r="AR33" s="36">
        <v>12</v>
      </c>
      <c r="AS33" s="21">
        <f t="shared" si="7"/>
        <v>12</v>
      </c>
      <c r="AT33">
        <f t="shared" si="8"/>
        <v>14361.119999999999</v>
      </c>
      <c r="AW33" s="39">
        <v>28.892034258788225</v>
      </c>
      <c r="AX33" s="21">
        <f t="shared" si="9"/>
        <v>1043.8350090702802</v>
      </c>
      <c r="AY33" s="36">
        <v>12</v>
      </c>
      <c r="AZ33" s="21">
        <f t="shared" si="10"/>
        <v>16.892034258788225</v>
      </c>
      <c r="BA33">
        <f t="shared" si="11"/>
        <v>17632.496733737691</v>
      </c>
      <c r="BB33" s="21">
        <f t="shared" si="12"/>
        <v>34855.774383397315</v>
      </c>
    </row>
    <row r="34" spans="1:54" x14ac:dyDescent="0.55000000000000004">
      <c r="A34" s="1" t="s">
        <v>10</v>
      </c>
      <c r="B34" s="1" t="s">
        <v>64</v>
      </c>
      <c r="C34" s="1" t="s">
        <v>3</v>
      </c>
      <c r="D34" s="2">
        <v>45</v>
      </c>
      <c r="E34" s="1">
        <v>519</v>
      </c>
      <c r="S34">
        <f>RSQ(T9:T11,S9:S11)</f>
        <v>0.96867350395088347</v>
      </c>
      <c r="AB34" s="39">
        <v>37.14</v>
      </c>
      <c r="AC34" s="21">
        <f t="shared" si="0"/>
        <v>786.00360000000001</v>
      </c>
      <c r="AD34" s="36">
        <v>12</v>
      </c>
      <c r="AE34" s="21">
        <f t="shared" si="1"/>
        <v>25.14</v>
      </c>
      <c r="AF34">
        <f t="shared" si="2"/>
        <v>19760.130504000001</v>
      </c>
      <c r="AG34" s="21"/>
      <c r="AI34" s="39">
        <v>14</v>
      </c>
      <c r="AJ34" s="21">
        <f t="shared" si="3"/>
        <v>1509.36</v>
      </c>
      <c r="AK34" s="36">
        <v>12</v>
      </c>
      <c r="AL34" s="21">
        <f t="shared" si="4"/>
        <v>2</v>
      </c>
      <c r="AM34">
        <f t="shared" si="5"/>
        <v>3018.72</v>
      </c>
      <c r="AP34" s="39">
        <v>24</v>
      </c>
      <c r="AQ34" s="21">
        <f t="shared" si="6"/>
        <v>1196.76</v>
      </c>
      <c r="AR34" s="36">
        <v>12</v>
      </c>
      <c r="AS34" s="21">
        <f t="shared" si="7"/>
        <v>12</v>
      </c>
      <c r="AT34">
        <f t="shared" si="8"/>
        <v>14361.119999999999</v>
      </c>
      <c r="AW34" s="39">
        <v>28.892034258788225</v>
      </c>
      <c r="AX34" s="21">
        <f t="shared" si="9"/>
        <v>1043.8350090702802</v>
      </c>
      <c r="AY34" s="36">
        <v>12</v>
      </c>
      <c r="AZ34" s="21">
        <f t="shared" si="10"/>
        <v>16.892034258788225</v>
      </c>
      <c r="BA34">
        <f t="shared" si="11"/>
        <v>17632.496733737691</v>
      </c>
      <c r="BB34" s="21">
        <f t="shared" si="12"/>
        <v>34855.774383397315</v>
      </c>
    </row>
    <row r="35" spans="1:54" x14ac:dyDescent="0.55000000000000004">
      <c r="A35" s="1" t="s">
        <v>10</v>
      </c>
      <c r="B35" s="1" t="s">
        <v>64</v>
      </c>
      <c r="C35" s="1" t="s">
        <v>4</v>
      </c>
      <c r="D35" s="2">
        <v>45</v>
      </c>
      <c r="E35" s="1">
        <v>530</v>
      </c>
      <c r="AB35" s="39">
        <v>37.14</v>
      </c>
      <c r="AC35" s="21">
        <f t="shared" si="0"/>
        <v>786.00360000000001</v>
      </c>
      <c r="AD35" s="36">
        <v>12</v>
      </c>
      <c r="AE35" s="21">
        <f t="shared" si="1"/>
        <v>25.14</v>
      </c>
      <c r="AF35">
        <f t="shared" si="2"/>
        <v>19760.130504000001</v>
      </c>
      <c r="AG35" s="21"/>
      <c r="AI35" s="39">
        <v>14</v>
      </c>
      <c r="AJ35" s="21">
        <f t="shared" si="3"/>
        <v>1509.36</v>
      </c>
      <c r="AK35" s="36">
        <v>12</v>
      </c>
      <c r="AL35" s="21">
        <f t="shared" si="4"/>
        <v>2</v>
      </c>
      <c r="AM35">
        <f t="shared" si="5"/>
        <v>3018.72</v>
      </c>
      <c r="AP35" s="39">
        <v>24</v>
      </c>
      <c r="AQ35" s="21">
        <f t="shared" si="6"/>
        <v>1196.76</v>
      </c>
      <c r="AR35" s="36">
        <v>12</v>
      </c>
      <c r="AS35" s="21">
        <f t="shared" si="7"/>
        <v>12</v>
      </c>
      <c r="AT35">
        <f t="shared" si="8"/>
        <v>14361.119999999999</v>
      </c>
      <c r="AW35" s="39">
        <v>28.892034258788225</v>
      </c>
      <c r="AX35" s="21">
        <f t="shared" si="9"/>
        <v>1043.8350090702802</v>
      </c>
      <c r="AY35" s="36">
        <v>12</v>
      </c>
      <c r="AZ35" s="21">
        <f t="shared" si="10"/>
        <v>16.892034258788225</v>
      </c>
      <c r="BA35">
        <f t="shared" si="11"/>
        <v>17632.496733737691</v>
      </c>
      <c r="BB35" s="21">
        <f t="shared" si="12"/>
        <v>34855.774383397315</v>
      </c>
    </row>
    <row r="36" spans="1:54" x14ac:dyDescent="0.55000000000000004">
      <c r="A36" s="1" t="s">
        <v>10</v>
      </c>
      <c r="B36" s="1" t="s">
        <v>64</v>
      </c>
      <c r="C36" s="1" t="s">
        <v>5</v>
      </c>
      <c r="D36" s="2">
        <v>45</v>
      </c>
      <c r="E36" s="1">
        <v>545</v>
      </c>
      <c r="G36" t="s">
        <v>0</v>
      </c>
      <c r="H36" s="36">
        <v>50</v>
      </c>
      <c r="R36" t="s">
        <v>83</v>
      </c>
      <c r="S36">
        <f>(-31.26*40+1947)</f>
        <v>696.59999999999991</v>
      </c>
      <c r="T36" t="s">
        <v>92</v>
      </c>
      <c r="AB36" s="39">
        <v>37.14</v>
      </c>
      <c r="AC36" s="21">
        <f t="shared" si="0"/>
        <v>786.00360000000001</v>
      </c>
      <c r="AD36" s="36">
        <v>12</v>
      </c>
      <c r="AE36" s="21">
        <f t="shared" si="1"/>
        <v>25.14</v>
      </c>
      <c r="AF36">
        <f t="shared" si="2"/>
        <v>19760.130504000001</v>
      </c>
      <c r="AG36" s="21"/>
      <c r="AI36" s="39">
        <v>14</v>
      </c>
      <c r="AJ36" s="21">
        <f t="shared" si="3"/>
        <v>1509.36</v>
      </c>
      <c r="AK36" s="36">
        <v>12</v>
      </c>
      <c r="AL36" s="21">
        <f t="shared" si="4"/>
        <v>2</v>
      </c>
      <c r="AM36">
        <f t="shared" si="5"/>
        <v>3018.72</v>
      </c>
      <c r="AP36" s="39">
        <v>24</v>
      </c>
      <c r="AQ36" s="21">
        <f t="shared" si="6"/>
        <v>1196.76</v>
      </c>
      <c r="AR36" s="36">
        <v>12</v>
      </c>
      <c r="AS36" s="21">
        <f t="shared" si="7"/>
        <v>12</v>
      </c>
      <c r="AT36">
        <f t="shared" si="8"/>
        <v>14361.119999999999</v>
      </c>
      <c r="AW36" s="39">
        <v>28.892034258788225</v>
      </c>
      <c r="AX36" s="21">
        <f t="shared" si="9"/>
        <v>1043.8350090702802</v>
      </c>
      <c r="AY36" s="36">
        <v>12</v>
      </c>
      <c r="AZ36" s="21">
        <f t="shared" si="10"/>
        <v>16.892034258788225</v>
      </c>
      <c r="BA36">
        <f t="shared" si="11"/>
        <v>17632.496733737691</v>
      </c>
      <c r="BB36" s="21">
        <f t="shared" si="12"/>
        <v>34855.774383397315</v>
      </c>
    </row>
    <row r="37" spans="1:54" x14ac:dyDescent="0.55000000000000004">
      <c r="A37" s="1" t="s">
        <v>10</v>
      </c>
      <c r="B37" s="1" t="s">
        <v>64</v>
      </c>
      <c r="C37" s="1" t="s">
        <v>6</v>
      </c>
      <c r="D37" s="2">
        <v>45</v>
      </c>
      <c r="E37" s="1">
        <v>492</v>
      </c>
      <c r="G37" t="s">
        <v>112</v>
      </c>
      <c r="H37" s="21">
        <f>-31.26*H36+1947</f>
        <v>384</v>
      </c>
      <c r="J37" s="23"/>
      <c r="S37">
        <f>(-31.26*45+1947)</f>
        <v>540.29999999999995</v>
      </c>
      <c r="T37" t="s">
        <v>93</v>
      </c>
      <c r="AB37" s="39">
        <v>37.14</v>
      </c>
      <c r="AC37" s="21">
        <f t="shared" si="0"/>
        <v>786.00360000000001</v>
      </c>
      <c r="AD37" s="36">
        <v>12</v>
      </c>
      <c r="AE37" s="21">
        <f t="shared" si="1"/>
        <v>25.14</v>
      </c>
      <c r="AF37">
        <f t="shared" si="2"/>
        <v>19760.130504000001</v>
      </c>
      <c r="AG37" s="21"/>
      <c r="AI37" s="39">
        <v>14</v>
      </c>
      <c r="AJ37" s="21">
        <f t="shared" si="3"/>
        <v>1509.36</v>
      </c>
      <c r="AK37" s="36">
        <v>12</v>
      </c>
      <c r="AL37" s="21">
        <f t="shared" si="4"/>
        <v>2</v>
      </c>
      <c r="AM37">
        <f t="shared" si="5"/>
        <v>3018.72</v>
      </c>
      <c r="AP37" s="39">
        <v>24</v>
      </c>
      <c r="AQ37" s="21">
        <f t="shared" si="6"/>
        <v>1196.76</v>
      </c>
      <c r="AR37" s="36">
        <v>12</v>
      </c>
      <c r="AS37" s="21">
        <f t="shared" si="7"/>
        <v>12</v>
      </c>
      <c r="AT37">
        <f t="shared" si="8"/>
        <v>14361.119999999999</v>
      </c>
      <c r="AW37" s="39">
        <v>28.892034258788225</v>
      </c>
      <c r="AX37" s="21">
        <f t="shared" si="9"/>
        <v>1043.8350090702802</v>
      </c>
      <c r="AY37" s="36">
        <v>12</v>
      </c>
      <c r="AZ37" s="21">
        <f t="shared" si="10"/>
        <v>16.892034258788225</v>
      </c>
      <c r="BA37">
        <f t="shared" si="11"/>
        <v>17632.496733737691</v>
      </c>
      <c r="BB37" s="21">
        <f t="shared" si="12"/>
        <v>34855.774383397315</v>
      </c>
    </row>
    <row r="38" spans="1:54" x14ac:dyDescent="0.55000000000000004">
      <c r="A38" s="1" t="s">
        <v>10</v>
      </c>
      <c r="B38" s="1" t="s">
        <v>65</v>
      </c>
      <c r="C38" s="1" t="s">
        <v>1</v>
      </c>
      <c r="D38" s="2">
        <v>45</v>
      </c>
      <c r="E38" s="1">
        <v>584</v>
      </c>
      <c r="G38" t="s">
        <v>113</v>
      </c>
      <c r="H38">
        <f>50-20</f>
        <v>30</v>
      </c>
      <c r="I38" t="s">
        <v>115</v>
      </c>
      <c r="S38">
        <f>(-31.26*50+1947)</f>
        <v>384</v>
      </c>
      <c r="T38" t="s">
        <v>94</v>
      </c>
      <c r="AB38" s="39">
        <v>37.14</v>
      </c>
      <c r="AC38" s="21">
        <f t="shared" si="0"/>
        <v>786.00360000000001</v>
      </c>
      <c r="AD38" s="36">
        <v>12</v>
      </c>
      <c r="AE38" s="21">
        <f t="shared" si="1"/>
        <v>25.14</v>
      </c>
      <c r="AF38">
        <f t="shared" si="2"/>
        <v>19760.130504000001</v>
      </c>
      <c r="AG38" s="21"/>
      <c r="AI38" s="39">
        <v>14</v>
      </c>
      <c r="AJ38" s="21">
        <f t="shared" si="3"/>
        <v>1509.36</v>
      </c>
      <c r="AK38" s="36">
        <v>12</v>
      </c>
      <c r="AL38" s="21">
        <f t="shared" si="4"/>
        <v>2</v>
      </c>
      <c r="AM38">
        <f t="shared" si="5"/>
        <v>3018.72</v>
      </c>
      <c r="AP38" s="39">
        <v>24</v>
      </c>
      <c r="AQ38" s="21">
        <f t="shared" si="6"/>
        <v>1196.76</v>
      </c>
      <c r="AR38" s="36">
        <v>12</v>
      </c>
      <c r="AS38" s="21">
        <f t="shared" si="7"/>
        <v>12</v>
      </c>
      <c r="AT38">
        <f t="shared" si="8"/>
        <v>14361.119999999999</v>
      </c>
      <c r="AW38" s="39">
        <v>28.892034258788225</v>
      </c>
      <c r="AX38" s="21">
        <f t="shared" si="9"/>
        <v>1043.8350090702802</v>
      </c>
      <c r="AY38" s="36">
        <v>12</v>
      </c>
      <c r="AZ38" s="21">
        <f t="shared" si="10"/>
        <v>16.892034258788225</v>
      </c>
      <c r="BA38">
        <f t="shared" si="11"/>
        <v>17632.496733737691</v>
      </c>
      <c r="BB38" s="21">
        <f t="shared" si="12"/>
        <v>34855.774383397315</v>
      </c>
    </row>
    <row r="39" spans="1:54" x14ac:dyDescent="0.55000000000000004">
      <c r="A39" s="1" t="s">
        <v>10</v>
      </c>
      <c r="B39" s="1" t="s">
        <v>65</v>
      </c>
      <c r="C39" s="1" t="s">
        <v>2</v>
      </c>
      <c r="D39" s="2">
        <v>45</v>
      </c>
      <c r="E39" s="1">
        <v>462</v>
      </c>
      <c r="G39" t="s">
        <v>114</v>
      </c>
      <c r="H39">
        <f>H38*H37</f>
        <v>11520</v>
      </c>
      <c r="AB39" s="39">
        <v>37.14</v>
      </c>
      <c r="AC39" s="21">
        <f t="shared" si="0"/>
        <v>786.00360000000001</v>
      </c>
      <c r="AD39" s="36">
        <v>12</v>
      </c>
      <c r="AE39" s="21">
        <f t="shared" si="1"/>
        <v>25.14</v>
      </c>
      <c r="AF39">
        <f t="shared" si="2"/>
        <v>19760.130504000001</v>
      </c>
      <c r="AG39" s="21"/>
      <c r="AI39" s="39">
        <v>14</v>
      </c>
      <c r="AJ39" s="21">
        <f t="shared" si="3"/>
        <v>1509.36</v>
      </c>
      <c r="AK39" s="36">
        <v>12</v>
      </c>
      <c r="AL39" s="21">
        <f t="shared" si="4"/>
        <v>2</v>
      </c>
      <c r="AM39">
        <f t="shared" si="5"/>
        <v>3018.72</v>
      </c>
      <c r="AP39" s="39">
        <v>24</v>
      </c>
      <c r="AQ39" s="21">
        <f t="shared" si="6"/>
        <v>1196.76</v>
      </c>
      <c r="AR39" s="36">
        <v>12</v>
      </c>
      <c r="AS39" s="21">
        <f t="shared" si="7"/>
        <v>12</v>
      </c>
      <c r="AT39">
        <f t="shared" si="8"/>
        <v>14361.119999999999</v>
      </c>
      <c r="AW39" s="39">
        <v>28.892034258788225</v>
      </c>
      <c r="AX39" s="21">
        <f t="shared" si="9"/>
        <v>1043.8350090702802</v>
      </c>
      <c r="AY39" s="36">
        <v>12</v>
      </c>
      <c r="AZ39" s="21">
        <f t="shared" si="10"/>
        <v>16.892034258788225</v>
      </c>
      <c r="BA39">
        <f t="shared" si="11"/>
        <v>17632.496733737691</v>
      </c>
      <c r="BB39" s="21">
        <f t="shared" si="12"/>
        <v>34855.774383397315</v>
      </c>
    </row>
    <row r="40" spans="1:54" x14ac:dyDescent="0.55000000000000004">
      <c r="A40" s="1" t="s">
        <v>10</v>
      </c>
      <c r="B40" s="1" t="s">
        <v>65</v>
      </c>
      <c r="C40" s="1" t="s">
        <v>3</v>
      </c>
      <c r="D40" s="2">
        <v>45</v>
      </c>
      <c r="E40" s="1">
        <v>554</v>
      </c>
      <c r="S40" t="s">
        <v>84</v>
      </c>
      <c r="AB40" s="39">
        <v>37.14</v>
      </c>
      <c r="AC40" s="21">
        <f t="shared" si="0"/>
        <v>786.00360000000001</v>
      </c>
      <c r="AD40" s="36">
        <v>12</v>
      </c>
      <c r="AE40" s="21">
        <f t="shared" si="1"/>
        <v>25.14</v>
      </c>
      <c r="AF40">
        <f t="shared" si="2"/>
        <v>19760.130504000001</v>
      </c>
      <c r="AG40" s="21"/>
      <c r="AI40" s="39">
        <v>14</v>
      </c>
      <c r="AJ40" s="21">
        <f t="shared" si="3"/>
        <v>1509.36</v>
      </c>
      <c r="AK40" s="36">
        <v>12</v>
      </c>
      <c r="AL40" s="21">
        <f t="shared" si="4"/>
        <v>2</v>
      </c>
      <c r="AM40">
        <f t="shared" si="5"/>
        <v>3018.72</v>
      </c>
      <c r="AP40" s="39">
        <v>24</v>
      </c>
      <c r="AQ40" s="21">
        <f t="shared" si="6"/>
        <v>1196.76</v>
      </c>
      <c r="AR40" s="36">
        <v>12</v>
      </c>
      <c r="AS40" s="21">
        <f t="shared" si="7"/>
        <v>12</v>
      </c>
      <c r="AT40">
        <f t="shared" si="8"/>
        <v>14361.119999999999</v>
      </c>
      <c r="AW40" s="39">
        <v>28.892034258788225</v>
      </c>
      <c r="AX40" s="21">
        <f t="shared" si="9"/>
        <v>1043.8350090702802</v>
      </c>
      <c r="AY40" s="36">
        <v>12</v>
      </c>
      <c r="AZ40" s="21">
        <f t="shared" si="10"/>
        <v>16.892034258788225</v>
      </c>
      <c r="BA40">
        <f t="shared" si="11"/>
        <v>17632.496733737691</v>
      </c>
      <c r="BB40" s="21">
        <f t="shared" si="12"/>
        <v>34855.774383397315</v>
      </c>
    </row>
    <row r="41" spans="1:54" x14ac:dyDescent="0.55000000000000004">
      <c r="A41" s="1" t="s">
        <v>10</v>
      </c>
      <c r="B41" s="1" t="s">
        <v>65</v>
      </c>
      <c r="C41" s="1" t="s">
        <v>4</v>
      </c>
      <c r="D41" s="2">
        <v>45</v>
      </c>
      <c r="E41" s="1">
        <v>451</v>
      </c>
      <c r="S41" s="29">
        <f>(507.64-712.67)/712.67</f>
        <v>-0.2876927610254395</v>
      </c>
      <c r="T41" s="31">
        <v>-0.2878</v>
      </c>
      <c r="AB41" s="39">
        <v>37.14</v>
      </c>
      <c r="AC41" s="21">
        <f t="shared" si="0"/>
        <v>786.00360000000001</v>
      </c>
      <c r="AD41" s="36">
        <v>12</v>
      </c>
      <c r="AE41" s="21">
        <f t="shared" si="1"/>
        <v>25.14</v>
      </c>
      <c r="AF41">
        <f t="shared" si="2"/>
        <v>19760.130504000001</v>
      </c>
      <c r="AG41" s="21"/>
      <c r="AI41" s="39">
        <v>14</v>
      </c>
      <c r="AJ41" s="21">
        <f t="shared" si="3"/>
        <v>1509.36</v>
      </c>
      <c r="AK41" s="36">
        <v>12</v>
      </c>
      <c r="AL41" s="21">
        <f t="shared" si="4"/>
        <v>2</v>
      </c>
      <c r="AM41">
        <f t="shared" si="5"/>
        <v>3018.72</v>
      </c>
      <c r="AP41" s="39">
        <v>24</v>
      </c>
      <c r="AQ41" s="21">
        <f t="shared" si="6"/>
        <v>1196.76</v>
      </c>
      <c r="AR41" s="36">
        <v>12</v>
      </c>
      <c r="AS41" s="21">
        <f t="shared" si="7"/>
        <v>12</v>
      </c>
      <c r="AT41">
        <f t="shared" si="8"/>
        <v>14361.119999999999</v>
      </c>
      <c r="AW41" s="39">
        <v>28.892034258788225</v>
      </c>
      <c r="AX41" s="21">
        <f t="shared" si="9"/>
        <v>1043.8350090702802</v>
      </c>
      <c r="AY41" s="36">
        <v>12</v>
      </c>
      <c r="AZ41" s="21">
        <f t="shared" si="10"/>
        <v>16.892034258788225</v>
      </c>
      <c r="BA41">
        <f t="shared" si="11"/>
        <v>17632.496733737691</v>
      </c>
      <c r="BB41" s="21">
        <f t="shared" si="12"/>
        <v>34855.774383397315</v>
      </c>
    </row>
    <row r="42" spans="1:54" x14ac:dyDescent="0.55000000000000004">
      <c r="A42" s="1" t="s">
        <v>10</v>
      </c>
      <c r="B42" s="1" t="s">
        <v>65</v>
      </c>
      <c r="C42" s="1" t="s">
        <v>5</v>
      </c>
      <c r="D42" s="2">
        <v>45</v>
      </c>
      <c r="E42" s="1">
        <v>547</v>
      </c>
      <c r="AB42" s="39">
        <v>37.14</v>
      </c>
      <c r="AC42" s="21">
        <f t="shared" si="0"/>
        <v>786.00360000000001</v>
      </c>
      <c r="AD42" s="36">
        <v>12</v>
      </c>
      <c r="AE42" s="21">
        <f t="shared" si="1"/>
        <v>25.14</v>
      </c>
      <c r="AF42">
        <f t="shared" si="2"/>
        <v>19760.130504000001</v>
      </c>
      <c r="AG42" s="21"/>
      <c r="AI42" s="39">
        <v>14</v>
      </c>
      <c r="AJ42" s="21">
        <f t="shared" si="3"/>
        <v>1509.36</v>
      </c>
      <c r="AK42" s="36">
        <v>12</v>
      </c>
      <c r="AL42" s="21">
        <f t="shared" si="4"/>
        <v>2</v>
      </c>
      <c r="AM42">
        <f t="shared" si="5"/>
        <v>3018.72</v>
      </c>
      <c r="AP42" s="39">
        <v>24</v>
      </c>
      <c r="AQ42" s="21">
        <f t="shared" si="6"/>
        <v>1196.76</v>
      </c>
      <c r="AR42" s="36">
        <v>12</v>
      </c>
      <c r="AS42" s="21">
        <f t="shared" si="7"/>
        <v>12</v>
      </c>
      <c r="AT42">
        <f t="shared" si="8"/>
        <v>14361.119999999999</v>
      </c>
      <c r="AW42" s="39">
        <v>28.892034258788225</v>
      </c>
      <c r="AX42" s="21">
        <f t="shared" si="9"/>
        <v>1043.8350090702802</v>
      </c>
      <c r="AY42" s="36">
        <v>12</v>
      </c>
      <c r="AZ42" s="21">
        <f t="shared" si="10"/>
        <v>16.892034258788225</v>
      </c>
      <c r="BA42">
        <f t="shared" si="11"/>
        <v>17632.496733737691</v>
      </c>
      <c r="BB42" s="21">
        <f t="shared" si="12"/>
        <v>34855.774383397315</v>
      </c>
    </row>
    <row r="43" spans="1:54" x14ac:dyDescent="0.55000000000000004">
      <c r="A43" s="1" t="s">
        <v>10</v>
      </c>
      <c r="B43" s="1" t="s">
        <v>65</v>
      </c>
      <c r="C43" s="1" t="s">
        <v>6</v>
      </c>
      <c r="D43" s="2">
        <v>45</v>
      </c>
      <c r="E43" s="1">
        <v>537</v>
      </c>
      <c r="S43" t="s">
        <v>85</v>
      </c>
      <c r="AB43" s="39">
        <v>37.14</v>
      </c>
      <c r="AC43" s="21">
        <f t="shared" si="0"/>
        <v>786.00360000000001</v>
      </c>
      <c r="AD43" s="36">
        <v>12</v>
      </c>
      <c r="AE43" s="21">
        <f t="shared" si="1"/>
        <v>25.14</v>
      </c>
      <c r="AF43">
        <f t="shared" si="2"/>
        <v>19760.130504000001</v>
      </c>
      <c r="AG43" s="21"/>
      <c r="AI43" s="39">
        <v>14</v>
      </c>
      <c r="AJ43" s="21">
        <f t="shared" si="3"/>
        <v>1509.36</v>
      </c>
      <c r="AK43" s="36">
        <v>12</v>
      </c>
      <c r="AL43" s="21">
        <f t="shared" si="4"/>
        <v>2</v>
      </c>
      <c r="AM43">
        <f t="shared" si="5"/>
        <v>3018.72</v>
      </c>
      <c r="AP43" s="39">
        <v>24</v>
      </c>
      <c r="AQ43" s="21">
        <f t="shared" si="6"/>
        <v>1196.76</v>
      </c>
      <c r="AR43" s="36">
        <v>12</v>
      </c>
      <c r="AS43" s="21">
        <f t="shared" si="7"/>
        <v>12</v>
      </c>
      <c r="AT43">
        <f t="shared" si="8"/>
        <v>14361.119999999999</v>
      </c>
      <c r="AW43" s="39">
        <v>28.892034258788225</v>
      </c>
      <c r="AX43" s="21">
        <f t="shared" si="9"/>
        <v>1043.8350090702802</v>
      </c>
      <c r="AY43" s="36">
        <v>12</v>
      </c>
      <c r="AZ43" s="21">
        <f t="shared" si="10"/>
        <v>16.892034258788225</v>
      </c>
      <c r="BA43">
        <f t="shared" si="11"/>
        <v>17632.496733737691</v>
      </c>
      <c r="BB43" s="21">
        <f t="shared" si="12"/>
        <v>34855.774383397315</v>
      </c>
    </row>
    <row r="44" spans="1:54" ht="20.399999999999999" x14ac:dyDescent="0.75">
      <c r="A44" s="1" t="s">
        <v>11</v>
      </c>
      <c r="B44" s="1" t="s">
        <v>51</v>
      </c>
      <c r="C44" s="1" t="s">
        <v>1</v>
      </c>
      <c r="D44" s="2">
        <v>50</v>
      </c>
      <c r="E44" s="1">
        <v>438</v>
      </c>
      <c r="G44" s="48" t="s">
        <v>164</v>
      </c>
      <c r="S44">
        <f>(45-40)/40</f>
        <v>0.125</v>
      </c>
      <c r="T44" s="31">
        <v>0.125</v>
      </c>
      <c r="AB44" s="39">
        <v>37.14</v>
      </c>
      <c r="AC44" s="21">
        <f t="shared" si="0"/>
        <v>786.00360000000001</v>
      </c>
      <c r="AD44" s="36">
        <v>12</v>
      </c>
      <c r="AE44" s="21">
        <f t="shared" si="1"/>
        <v>25.14</v>
      </c>
      <c r="AF44">
        <f t="shared" si="2"/>
        <v>19760.130504000001</v>
      </c>
      <c r="AG44" s="21"/>
      <c r="AI44" s="39">
        <v>14</v>
      </c>
      <c r="AJ44" s="21">
        <f t="shared" si="3"/>
        <v>1509.36</v>
      </c>
      <c r="AK44" s="36">
        <v>12</v>
      </c>
      <c r="AL44" s="21">
        <f t="shared" si="4"/>
        <v>2</v>
      </c>
      <c r="AM44">
        <f t="shared" si="5"/>
        <v>3018.72</v>
      </c>
      <c r="AP44" s="39">
        <v>24</v>
      </c>
      <c r="AQ44" s="21">
        <f t="shared" si="6"/>
        <v>1196.76</v>
      </c>
      <c r="AR44" s="36">
        <v>12</v>
      </c>
      <c r="AS44" s="21">
        <f t="shared" si="7"/>
        <v>12</v>
      </c>
      <c r="AT44">
        <f t="shared" si="8"/>
        <v>14361.119999999999</v>
      </c>
      <c r="AW44" s="39">
        <v>28.892034258788225</v>
      </c>
      <c r="AX44" s="21">
        <f t="shared" si="9"/>
        <v>1043.8350090702802</v>
      </c>
      <c r="AY44" s="36">
        <v>12</v>
      </c>
      <c r="AZ44" s="21">
        <f t="shared" si="10"/>
        <v>16.892034258788225</v>
      </c>
      <c r="BA44">
        <f t="shared" si="11"/>
        <v>17632.496733737691</v>
      </c>
      <c r="BB44" s="21">
        <f t="shared" si="12"/>
        <v>34855.774383397315</v>
      </c>
    </row>
    <row r="45" spans="1:54" x14ac:dyDescent="0.55000000000000004">
      <c r="A45" s="1" t="s">
        <v>11</v>
      </c>
      <c r="B45" s="1" t="s">
        <v>51</v>
      </c>
      <c r="C45" s="1" t="s">
        <v>2</v>
      </c>
      <c r="D45" s="2">
        <v>50</v>
      </c>
      <c r="E45" s="1">
        <v>347</v>
      </c>
      <c r="G45" t="s">
        <v>165</v>
      </c>
      <c r="H45" s="36">
        <v>8</v>
      </c>
      <c r="AB45" s="39">
        <v>37.14</v>
      </c>
      <c r="AC45" s="21">
        <f t="shared" si="0"/>
        <v>786.00360000000001</v>
      </c>
      <c r="AD45" s="36">
        <v>12</v>
      </c>
      <c r="AE45" s="21">
        <f t="shared" si="1"/>
        <v>25.14</v>
      </c>
      <c r="AF45">
        <f t="shared" si="2"/>
        <v>19760.130504000001</v>
      </c>
      <c r="AG45" s="21"/>
      <c r="AI45" s="39">
        <v>14</v>
      </c>
      <c r="AJ45" s="21">
        <f t="shared" si="3"/>
        <v>1509.36</v>
      </c>
      <c r="AK45" s="36">
        <v>12</v>
      </c>
      <c r="AL45" s="21">
        <f t="shared" si="4"/>
        <v>2</v>
      </c>
      <c r="AM45">
        <f t="shared" si="5"/>
        <v>3018.72</v>
      </c>
      <c r="AP45" s="39">
        <v>24</v>
      </c>
      <c r="AQ45" s="21">
        <f t="shared" si="6"/>
        <v>1196.76</v>
      </c>
      <c r="AR45" s="36">
        <v>12</v>
      </c>
      <c r="AS45" s="21">
        <f t="shared" si="7"/>
        <v>12</v>
      </c>
      <c r="AT45">
        <f t="shared" si="8"/>
        <v>14361.119999999999</v>
      </c>
      <c r="AW45" s="39">
        <v>28.892034258788225</v>
      </c>
      <c r="AX45" s="21">
        <f t="shared" si="9"/>
        <v>1043.8350090702802</v>
      </c>
      <c r="AY45" s="36">
        <v>12</v>
      </c>
      <c r="AZ45" s="21">
        <f t="shared" si="10"/>
        <v>16.892034258788225</v>
      </c>
      <c r="BA45">
        <f t="shared" si="11"/>
        <v>17632.496733737691</v>
      </c>
      <c r="BB45" s="21">
        <f t="shared" si="12"/>
        <v>34855.774383397315</v>
      </c>
    </row>
    <row r="46" spans="1:54" x14ac:dyDescent="0.55000000000000004">
      <c r="A46" s="1" t="s">
        <v>11</v>
      </c>
      <c r="B46" s="1" t="s">
        <v>51</v>
      </c>
      <c r="C46" s="1" t="s">
        <v>3</v>
      </c>
      <c r="D46" s="2">
        <v>50</v>
      </c>
      <c r="E46" s="1">
        <v>482</v>
      </c>
      <c r="G46" t="s">
        <v>166</v>
      </c>
      <c r="H46" s="36">
        <v>30</v>
      </c>
      <c r="S46" t="s">
        <v>86</v>
      </c>
      <c r="AB46" s="39">
        <v>37.14</v>
      </c>
      <c r="AC46" s="21">
        <f t="shared" si="0"/>
        <v>786.00360000000001</v>
      </c>
      <c r="AD46" s="36">
        <v>12</v>
      </c>
      <c r="AE46" s="21">
        <f t="shared" si="1"/>
        <v>25.14</v>
      </c>
      <c r="AF46">
        <f t="shared" si="2"/>
        <v>19760.130504000001</v>
      </c>
      <c r="AG46" s="21"/>
      <c r="AI46" s="39">
        <v>14</v>
      </c>
      <c r="AJ46" s="21">
        <f t="shared" si="3"/>
        <v>1509.36</v>
      </c>
      <c r="AK46" s="36">
        <v>12</v>
      </c>
      <c r="AL46" s="21">
        <f t="shared" si="4"/>
        <v>2</v>
      </c>
      <c r="AM46">
        <f t="shared" si="5"/>
        <v>3018.72</v>
      </c>
      <c r="AP46" s="39">
        <v>24</v>
      </c>
      <c r="AQ46" s="21">
        <f t="shared" si="6"/>
        <v>1196.76</v>
      </c>
      <c r="AR46" s="36">
        <v>12</v>
      </c>
      <c r="AS46" s="21">
        <f t="shared" si="7"/>
        <v>12</v>
      </c>
      <c r="AT46">
        <f t="shared" si="8"/>
        <v>14361.119999999999</v>
      </c>
      <c r="AW46" s="39">
        <v>28.892034258788225</v>
      </c>
      <c r="AX46" s="21">
        <f t="shared" si="9"/>
        <v>1043.8350090702802</v>
      </c>
      <c r="AY46" s="36">
        <v>12</v>
      </c>
      <c r="AZ46" s="21">
        <f t="shared" si="10"/>
        <v>16.892034258788225</v>
      </c>
      <c r="BA46">
        <f t="shared" si="11"/>
        <v>17632.496733737691</v>
      </c>
      <c r="BB46" s="21">
        <f t="shared" si="12"/>
        <v>34855.774383397315</v>
      </c>
    </row>
    <row r="47" spans="1:54" x14ac:dyDescent="0.55000000000000004">
      <c r="A47" s="1" t="s">
        <v>11</v>
      </c>
      <c r="B47" s="1" t="s">
        <v>51</v>
      </c>
      <c r="C47" s="1" t="s">
        <v>4</v>
      </c>
      <c r="D47" s="2">
        <v>50</v>
      </c>
      <c r="E47" s="1">
        <v>450</v>
      </c>
      <c r="G47" t="s">
        <v>71</v>
      </c>
      <c r="S47" t="s">
        <v>87</v>
      </c>
      <c r="AB47" s="39">
        <v>37.14</v>
      </c>
      <c r="AC47" s="21">
        <f t="shared" si="0"/>
        <v>786.00360000000001</v>
      </c>
      <c r="AD47" s="36">
        <v>12</v>
      </c>
      <c r="AE47" s="21">
        <f t="shared" si="1"/>
        <v>25.14</v>
      </c>
      <c r="AF47">
        <f t="shared" si="2"/>
        <v>19760.130504000001</v>
      </c>
      <c r="AG47" s="21"/>
      <c r="AI47" s="39">
        <v>14</v>
      </c>
      <c r="AJ47" s="21">
        <f t="shared" si="3"/>
        <v>1509.36</v>
      </c>
      <c r="AK47" s="36">
        <v>12</v>
      </c>
      <c r="AL47" s="21">
        <f t="shared" si="4"/>
        <v>2</v>
      </c>
      <c r="AM47">
        <f t="shared" si="5"/>
        <v>3018.72</v>
      </c>
      <c r="AP47" s="39">
        <v>24</v>
      </c>
      <c r="AQ47" s="21">
        <f t="shared" si="6"/>
        <v>1196.76</v>
      </c>
      <c r="AR47" s="36">
        <v>12</v>
      </c>
      <c r="AS47" s="21">
        <f t="shared" si="7"/>
        <v>12</v>
      </c>
      <c r="AT47">
        <f t="shared" si="8"/>
        <v>14361.119999999999</v>
      </c>
      <c r="AW47" s="39">
        <v>28.892034258788225</v>
      </c>
      <c r="AX47" s="21">
        <f t="shared" si="9"/>
        <v>1043.8350090702802</v>
      </c>
      <c r="AY47" s="36">
        <v>12</v>
      </c>
      <c r="AZ47" s="21">
        <f t="shared" si="10"/>
        <v>16.892034258788225</v>
      </c>
      <c r="BA47">
        <f t="shared" si="11"/>
        <v>17632.496733737691</v>
      </c>
      <c r="BB47" s="21">
        <f t="shared" si="12"/>
        <v>34855.774383397315</v>
      </c>
    </row>
    <row r="48" spans="1:54" x14ac:dyDescent="0.55000000000000004">
      <c r="A48" s="1" t="s">
        <v>11</v>
      </c>
      <c r="B48" s="1" t="s">
        <v>51</v>
      </c>
      <c r="C48" s="1" t="s">
        <v>5</v>
      </c>
      <c r="D48" s="2">
        <v>50</v>
      </c>
      <c r="E48" s="1">
        <v>364</v>
      </c>
      <c r="G48" t="s">
        <v>167</v>
      </c>
      <c r="H48" t="s">
        <v>168</v>
      </c>
      <c r="S48" s="30">
        <f>-28.78%/12.5%</f>
        <v>-2.3024</v>
      </c>
      <c r="AB48" s="39">
        <v>37.14</v>
      </c>
      <c r="AC48" s="21">
        <f t="shared" si="0"/>
        <v>786.00360000000001</v>
      </c>
      <c r="AD48" s="36">
        <v>12</v>
      </c>
      <c r="AE48" s="21">
        <f t="shared" si="1"/>
        <v>25.14</v>
      </c>
      <c r="AF48">
        <f t="shared" si="2"/>
        <v>19760.130504000001</v>
      </c>
      <c r="AG48" s="21"/>
      <c r="AI48" s="39">
        <v>14</v>
      </c>
      <c r="AJ48" s="21">
        <f t="shared" si="3"/>
        <v>1509.36</v>
      </c>
      <c r="AK48" s="36">
        <v>12</v>
      </c>
      <c r="AL48" s="21">
        <f t="shared" si="4"/>
        <v>2</v>
      </c>
      <c r="AM48">
        <f t="shared" si="5"/>
        <v>3018.72</v>
      </c>
      <c r="AP48" s="39">
        <v>24</v>
      </c>
      <c r="AQ48" s="21">
        <f t="shared" si="6"/>
        <v>1196.76</v>
      </c>
      <c r="AR48" s="36">
        <v>12</v>
      </c>
      <c r="AS48" s="21">
        <f t="shared" si="7"/>
        <v>12</v>
      </c>
      <c r="AT48">
        <f t="shared" si="8"/>
        <v>14361.119999999999</v>
      </c>
      <c r="AW48" s="39">
        <v>28.892034258788225</v>
      </c>
      <c r="AX48" s="21">
        <f t="shared" si="9"/>
        <v>1043.8350090702802</v>
      </c>
      <c r="AY48" s="36">
        <v>12</v>
      </c>
      <c r="AZ48" s="21">
        <f t="shared" si="10"/>
        <v>16.892034258788225</v>
      </c>
      <c r="BA48">
        <f t="shared" si="11"/>
        <v>17632.496733737691</v>
      </c>
      <c r="BB48" s="21">
        <f t="shared" si="12"/>
        <v>34855.774383397315</v>
      </c>
    </row>
    <row r="49" spans="1:54" x14ac:dyDescent="0.55000000000000004">
      <c r="A49" s="1" t="s">
        <v>11</v>
      </c>
      <c r="B49" s="1" t="s">
        <v>51</v>
      </c>
      <c r="C49" s="1" t="s">
        <v>6</v>
      </c>
      <c r="D49" s="2">
        <v>50</v>
      </c>
      <c r="E49" s="1">
        <v>434</v>
      </c>
      <c r="G49" t="s">
        <v>169</v>
      </c>
      <c r="AB49" s="39">
        <v>37.14</v>
      </c>
      <c r="AC49" s="21">
        <f t="shared" si="0"/>
        <v>786.00360000000001</v>
      </c>
      <c r="AD49" s="36">
        <v>12</v>
      </c>
      <c r="AE49" s="21">
        <f t="shared" si="1"/>
        <v>25.14</v>
      </c>
      <c r="AF49">
        <f t="shared" si="2"/>
        <v>19760.130504000001</v>
      </c>
      <c r="AG49" s="21"/>
      <c r="AI49" s="39">
        <v>14</v>
      </c>
      <c r="AJ49" s="21">
        <f t="shared" si="3"/>
        <v>1509.36</v>
      </c>
      <c r="AK49" s="36">
        <v>12</v>
      </c>
      <c r="AL49" s="21">
        <f t="shared" si="4"/>
        <v>2</v>
      </c>
      <c r="AM49">
        <f t="shared" si="5"/>
        <v>3018.72</v>
      </c>
      <c r="AP49" s="39">
        <v>24</v>
      </c>
      <c r="AQ49" s="21">
        <f t="shared" si="6"/>
        <v>1196.76</v>
      </c>
      <c r="AR49" s="36">
        <v>12</v>
      </c>
      <c r="AS49" s="21">
        <f t="shared" si="7"/>
        <v>12</v>
      </c>
      <c r="AT49">
        <f t="shared" si="8"/>
        <v>14361.119999999999</v>
      </c>
      <c r="AW49" s="39">
        <v>28.892034258788225</v>
      </c>
      <c r="AX49" s="21">
        <f t="shared" si="9"/>
        <v>1043.8350090702802</v>
      </c>
      <c r="AY49" s="36">
        <v>12</v>
      </c>
      <c r="AZ49" s="21">
        <f t="shared" si="10"/>
        <v>16.892034258788225</v>
      </c>
      <c r="BA49">
        <f t="shared" si="11"/>
        <v>17632.496733737691</v>
      </c>
      <c r="BB49" s="21">
        <f t="shared" si="12"/>
        <v>34855.774383397315</v>
      </c>
    </row>
    <row r="50" spans="1:54" ht="17.399999999999999" x14ac:dyDescent="0.55000000000000004">
      <c r="A50" s="1" t="s">
        <v>11</v>
      </c>
      <c r="B50" s="1" t="s">
        <v>57</v>
      </c>
      <c r="C50" s="1" t="s">
        <v>1</v>
      </c>
      <c r="D50" s="2">
        <v>50</v>
      </c>
      <c r="E50" s="1">
        <v>293</v>
      </c>
      <c r="S50" s="32" t="s">
        <v>91</v>
      </c>
      <c r="AB50" s="39">
        <v>37.14</v>
      </c>
      <c r="AC50" s="21">
        <f t="shared" si="0"/>
        <v>786.00360000000001</v>
      </c>
      <c r="AD50" s="36">
        <v>12</v>
      </c>
      <c r="AE50" s="21">
        <f t="shared" si="1"/>
        <v>25.14</v>
      </c>
      <c r="AF50">
        <f t="shared" si="2"/>
        <v>19760.130504000001</v>
      </c>
      <c r="AG50" s="21"/>
      <c r="AI50" s="39">
        <v>14</v>
      </c>
      <c r="AJ50" s="21">
        <f t="shared" si="3"/>
        <v>1509.36</v>
      </c>
      <c r="AK50" s="36">
        <v>12</v>
      </c>
      <c r="AL50" s="21">
        <f t="shared" si="4"/>
        <v>2</v>
      </c>
      <c r="AM50">
        <f t="shared" si="5"/>
        <v>3018.72</v>
      </c>
      <c r="AP50" s="39">
        <v>24</v>
      </c>
      <c r="AQ50" s="21">
        <f t="shared" si="6"/>
        <v>1196.76</v>
      </c>
      <c r="AR50" s="36">
        <v>12</v>
      </c>
      <c r="AS50" s="21">
        <f t="shared" si="7"/>
        <v>12</v>
      </c>
      <c r="AT50">
        <f t="shared" si="8"/>
        <v>14361.119999999999</v>
      </c>
      <c r="AW50" s="39">
        <v>28.892034258788225</v>
      </c>
      <c r="AX50" s="21">
        <f t="shared" si="9"/>
        <v>1043.8350090702802</v>
      </c>
      <c r="AY50" s="36">
        <v>12</v>
      </c>
      <c r="AZ50" s="21">
        <f t="shared" si="10"/>
        <v>16.892034258788225</v>
      </c>
      <c r="BA50">
        <f t="shared" si="11"/>
        <v>17632.496733737691</v>
      </c>
      <c r="BB50" s="21">
        <f t="shared" si="12"/>
        <v>34855.774383397315</v>
      </c>
    </row>
    <row r="51" spans="1:54" x14ac:dyDescent="0.55000000000000004">
      <c r="A51" s="1" t="s">
        <v>11</v>
      </c>
      <c r="B51" s="1" t="s">
        <v>57</v>
      </c>
      <c r="C51" s="1" t="s">
        <v>2</v>
      </c>
      <c r="D51" s="2">
        <v>50</v>
      </c>
      <c r="E51" s="1">
        <v>487</v>
      </c>
      <c r="G51" t="s">
        <v>170</v>
      </c>
      <c r="H51" t="s">
        <v>171</v>
      </c>
      <c r="I51" t="s">
        <v>172</v>
      </c>
      <c r="S51" s="33"/>
      <c r="AB51" s="39">
        <v>37.14</v>
      </c>
      <c r="AC51" s="21">
        <f t="shared" si="0"/>
        <v>786.00360000000001</v>
      </c>
      <c r="AD51" s="36">
        <v>12</v>
      </c>
      <c r="AE51" s="21">
        <f t="shared" si="1"/>
        <v>25.14</v>
      </c>
      <c r="AF51">
        <f t="shared" si="2"/>
        <v>19760.130504000001</v>
      </c>
      <c r="AG51" s="21"/>
      <c r="AI51" s="39">
        <v>14</v>
      </c>
      <c r="AJ51" s="21">
        <f t="shared" si="3"/>
        <v>1509.36</v>
      </c>
      <c r="AK51" s="36">
        <v>12</v>
      </c>
      <c r="AL51" s="21">
        <f t="shared" si="4"/>
        <v>2</v>
      </c>
      <c r="AM51">
        <f t="shared" si="5"/>
        <v>3018.72</v>
      </c>
      <c r="AP51" s="39">
        <v>24</v>
      </c>
      <c r="AQ51" s="21">
        <f t="shared" si="6"/>
        <v>1196.76</v>
      </c>
      <c r="AR51" s="36">
        <v>12</v>
      </c>
      <c r="AS51" s="21">
        <f t="shared" si="7"/>
        <v>12</v>
      </c>
      <c r="AT51">
        <f t="shared" si="8"/>
        <v>14361.119999999999</v>
      </c>
      <c r="AW51" s="39">
        <v>28.892034258788225</v>
      </c>
      <c r="AX51" s="21">
        <f t="shared" si="9"/>
        <v>1043.8350090702802</v>
      </c>
      <c r="AY51" s="36">
        <v>12</v>
      </c>
      <c r="AZ51" s="21">
        <f t="shared" si="10"/>
        <v>16.892034258788225</v>
      </c>
      <c r="BA51">
        <f t="shared" si="11"/>
        <v>17632.496733737691</v>
      </c>
      <c r="BB51" s="21">
        <f t="shared" si="12"/>
        <v>34855.774383397315</v>
      </c>
    </row>
    <row r="52" spans="1:54" x14ac:dyDescent="0.55000000000000004">
      <c r="A52" s="1" t="s">
        <v>11</v>
      </c>
      <c r="B52" s="1" t="s">
        <v>57</v>
      </c>
      <c r="C52" s="1" t="s">
        <v>3</v>
      </c>
      <c r="D52" s="2">
        <v>50</v>
      </c>
      <c r="E52" s="1">
        <v>320</v>
      </c>
      <c r="H52" t="s">
        <v>173</v>
      </c>
      <c r="I52" t="s">
        <v>174</v>
      </c>
      <c r="S52" s="34" t="s">
        <v>88</v>
      </c>
      <c r="AB52" s="39">
        <v>37.14</v>
      </c>
      <c r="AC52" s="21">
        <f t="shared" si="0"/>
        <v>786.00360000000001</v>
      </c>
      <c r="AD52" s="36">
        <v>12</v>
      </c>
      <c r="AE52" s="21">
        <f t="shared" si="1"/>
        <v>25.14</v>
      </c>
      <c r="AF52">
        <f t="shared" si="2"/>
        <v>19760.130504000001</v>
      </c>
      <c r="AG52" s="21"/>
      <c r="AI52" s="39">
        <v>14</v>
      </c>
      <c r="AJ52" s="21">
        <f t="shared" si="3"/>
        <v>1509.36</v>
      </c>
      <c r="AK52" s="36">
        <v>12</v>
      </c>
      <c r="AL52" s="21">
        <f t="shared" si="4"/>
        <v>2</v>
      </c>
      <c r="AM52">
        <f t="shared" si="5"/>
        <v>3018.72</v>
      </c>
      <c r="AP52" s="39">
        <v>24</v>
      </c>
      <c r="AQ52" s="21">
        <f t="shared" si="6"/>
        <v>1196.76</v>
      </c>
      <c r="AR52" s="36">
        <v>12</v>
      </c>
      <c r="AS52" s="21">
        <f t="shared" si="7"/>
        <v>12</v>
      </c>
      <c r="AT52">
        <f t="shared" si="8"/>
        <v>14361.119999999999</v>
      </c>
      <c r="AW52" s="39">
        <v>28.892034258788225</v>
      </c>
      <c r="AX52" s="21">
        <f t="shared" si="9"/>
        <v>1043.8350090702802</v>
      </c>
      <c r="AY52" s="36">
        <v>12</v>
      </c>
      <c r="AZ52" s="21">
        <f t="shared" si="10"/>
        <v>16.892034258788225</v>
      </c>
      <c r="BA52">
        <f t="shared" si="11"/>
        <v>17632.496733737691</v>
      </c>
      <c r="BB52" s="21">
        <f t="shared" si="12"/>
        <v>34855.774383397315</v>
      </c>
    </row>
    <row r="53" spans="1:54" x14ac:dyDescent="0.55000000000000004">
      <c r="A53" s="1" t="s">
        <v>11</v>
      </c>
      <c r="B53" s="1" t="s">
        <v>57</v>
      </c>
      <c r="C53" s="1" t="s">
        <v>4</v>
      </c>
      <c r="D53" s="2">
        <v>50</v>
      </c>
      <c r="E53" s="1">
        <v>454</v>
      </c>
      <c r="H53" t="s">
        <v>175</v>
      </c>
      <c r="I53" t="s">
        <v>176</v>
      </c>
      <c r="S53" s="33"/>
      <c r="AB53" s="39">
        <v>37.14</v>
      </c>
      <c r="AC53" s="21">
        <f t="shared" si="0"/>
        <v>786.00360000000001</v>
      </c>
      <c r="AD53" s="36">
        <v>12</v>
      </c>
      <c r="AE53" s="21">
        <f t="shared" si="1"/>
        <v>25.14</v>
      </c>
      <c r="AF53">
        <f t="shared" si="2"/>
        <v>19760.130504000001</v>
      </c>
      <c r="AG53" s="21"/>
      <c r="AI53" s="39">
        <v>14</v>
      </c>
      <c r="AJ53" s="21">
        <f t="shared" si="3"/>
        <v>1509.36</v>
      </c>
      <c r="AK53" s="36">
        <v>12</v>
      </c>
      <c r="AL53" s="21">
        <f t="shared" si="4"/>
        <v>2</v>
      </c>
      <c r="AM53">
        <f t="shared" si="5"/>
        <v>3018.72</v>
      </c>
      <c r="AP53" s="39">
        <v>24</v>
      </c>
      <c r="AQ53" s="21">
        <f t="shared" si="6"/>
        <v>1196.76</v>
      </c>
      <c r="AR53" s="36">
        <v>12</v>
      </c>
      <c r="AS53" s="21">
        <f t="shared" si="7"/>
        <v>12</v>
      </c>
      <c r="AT53">
        <f t="shared" si="8"/>
        <v>14361.119999999999</v>
      </c>
      <c r="AW53" s="39">
        <v>28.892034258788225</v>
      </c>
      <c r="AX53" s="21">
        <f t="shared" si="9"/>
        <v>1043.8350090702802</v>
      </c>
      <c r="AY53" s="36">
        <v>12</v>
      </c>
      <c r="AZ53" s="21">
        <f t="shared" si="10"/>
        <v>16.892034258788225</v>
      </c>
      <c r="BA53">
        <f t="shared" si="11"/>
        <v>17632.496733737691</v>
      </c>
      <c r="BB53" s="21">
        <f t="shared" si="12"/>
        <v>34855.774383397315</v>
      </c>
    </row>
    <row r="54" spans="1:54" x14ac:dyDescent="0.55000000000000004">
      <c r="A54" s="1" t="s">
        <v>11</v>
      </c>
      <c r="B54" s="1" t="s">
        <v>57</v>
      </c>
      <c r="C54" s="1" t="s">
        <v>5</v>
      </c>
      <c r="D54" s="2">
        <v>50</v>
      </c>
      <c r="E54" s="1">
        <v>411</v>
      </c>
      <c r="S54" s="33" t="s">
        <v>89</v>
      </c>
      <c r="AB54" s="39">
        <v>37.14</v>
      </c>
      <c r="AC54" s="21">
        <f t="shared" si="0"/>
        <v>786.00360000000001</v>
      </c>
      <c r="AD54" s="36">
        <v>12</v>
      </c>
      <c r="AE54" s="21">
        <f t="shared" si="1"/>
        <v>25.14</v>
      </c>
      <c r="AF54">
        <f t="shared" si="2"/>
        <v>19760.130504000001</v>
      </c>
      <c r="AG54" s="21"/>
      <c r="AI54" s="39">
        <v>14</v>
      </c>
      <c r="AJ54" s="21">
        <f t="shared" si="3"/>
        <v>1509.36</v>
      </c>
      <c r="AK54" s="36">
        <v>12</v>
      </c>
      <c r="AL54" s="21">
        <f t="shared" si="4"/>
        <v>2</v>
      </c>
      <c r="AM54">
        <f t="shared" si="5"/>
        <v>3018.72</v>
      </c>
      <c r="AP54" s="39">
        <v>24</v>
      </c>
      <c r="AQ54" s="21">
        <f t="shared" si="6"/>
        <v>1196.76</v>
      </c>
      <c r="AR54" s="36">
        <v>12</v>
      </c>
      <c r="AS54" s="21">
        <f t="shared" si="7"/>
        <v>12</v>
      </c>
      <c r="AT54">
        <f t="shared" si="8"/>
        <v>14361.119999999999</v>
      </c>
      <c r="AW54" s="39">
        <v>28.892034258788225</v>
      </c>
      <c r="AX54" s="21">
        <f t="shared" si="9"/>
        <v>1043.8350090702802</v>
      </c>
      <c r="AY54" s="36">
        <v>12</v>
      </c>
      <c r="AZ54" s="21">
        <f t="shared" si="10"/>
        <v>16.892034258788225</v>
      </c>
      <c r="BA54">
        <f t="shared" si="11"/>
        <v>17632.496733737691</v>
      </c>
      <c r="BB54" s="21">
        <f t="shared" si="12"/>
        <v>34855.774383397315</v>
      </c>
    </row>
    <row r="55" spans="1:54" x14ac:dyDescent="0.55000000000000004">
      <c r="A55" s="1" t="s">
        <v>11</v>
      </c>
      <c r="B55" s="1" t="s">
        <v>57</v>
      </c>
      <c r="C55" s="1" t="s">
        <v>6</v>
      </c>
      <c r="D55" s="2">
        <v>50</v>
      </c>
      <c r="E55" s="1">
        <v>471</v>
      </c>
      <c r="S55" s="33"/>
      <c r="AB55" s="39">
        <v>37.14</v>
      </c>
      <c r="AC55" s="21">
        <f t="shared" si="0"/>
        <v>786.00360000000001</v>
      </c>
      <c r="AD55" s="36">
        <v>12</v>
      </c>
      <c r="AE55" s="21">
        <f t="shared" si="1"/>
        <v>25.14</v>
      </c>
      <c r="AF55">
        <f t="shared" si="2"/>
        <v>19760.130504000001</v>
      </c>
      <c r="AG55" s="21"/>
      <c r="AI55" s="39">
        <v>14</v>
      </c>
      <c r="AJ55" s="21">
        <f t="shared" si="3"/>
        <v>1509.36</v>
      </c>
      <c r="AK55" s="36">
        <v>12</v>
      </c>
      <c r="AL55" s="21">
        <f t="shared" si="4"/>
        <v>2</v>
      </c>
      <c r="AM55">
        <f t="shared" si="5"/>
        <v>3018.72</v>
      </c>
      <c r="AP55" s="39">
        <v>24</v>
      </c>
      <c r="AQ55" s="21">
        <f t="shared" si="6"/>
        <v>1196.76</v>
      </c>
      <c r="AR55" s="36">
        <v>12</v>
      </c>
      <c r="AS55" s="21">
        <f t="shared" si="7"/>
        <v>12</v>
      </c>
      <c r="AT55">
        <f t="shared" si="8"/>
        <v>14361.119999999999</v>
      </c>
      <c r="AW55" s="39">
        <v>28.892034258788225</v>
      </c>
      <c r="AX55" s="21">
        <f t="shared" si="9"/>
        <v>1043.8350090702802</v>
      </c>
      <c r="AY55" s="36">
        <v>12</v>
      </c>
      <c r="AZ55" s="21">
        <f t="shared" si="10"/>
        <v>16.892034258788225</v>
      </c>
      <c r="BA55">
        <f t="shared" si="11"/>
        <v>17632.496733737691</v>
      </c>
      <c r="BB55" s="21">
        <f t="shared" si="12"/>
        <v>34855.774383397315</v>
      </c>
    </row>
    <row r="56" spans="1:54" x14ac:dyDescent="0.55000000000000004">
      <c r="A56" s="1" t="s">
        <v>11</v>
      </c>
      <c r="B56" s="1" t="s">
        <v>61</v>
      </c>
      <c r="C56" s="1" t="s">
        <v>1</v>
      </c>
      <c r="D56" s="2">
        <v>50</v>
      </c>
      <c r="E56" s="1">
        <v>353</v>
      </c>
      <c r="H56" t="s">
        <v>177</v>
      </c>
      <c r="I56" t="s">
        <v>178</v>
      </c>
      <c r="S56" s="33" t="s">
        <v>90</v>
      </c>
      <c r="AB56" s="39">
        <v>37.14</v>
      </c>
      <c r="AC56" s="21">
        <f t="shared" si="0"/>
        <v>786.00360000000001</v>
      </c>
      <c r="AD56" s="36">
        <v>12</v>
      </c>
      <c r="AE56" s="21">
        <f t="shared" si="1"/>
        <v>25.14</v>
      </c>
      <c r="AF56">
        <f t="shared" si="2"/>
        <v>19760.130504000001</v>
      </c>
      <c r="AG56" s="21"/>
      <c r="AI56" s="39">
        <v>14</v>
      </c>
      <c r="AJ56" s="21">
        <f t="shared" si="3"/>
        <v>1509.36</v>
      </c>
      <c r="AK56" s="36">
        <v>12</v>
      </c>
      <c r="AL56" s="21">
        <f t="shared" si="4"/>
        <v>2</v>
      </c>
      <c r="AM56">
        <f t="shared" si="5"/>
        <v>3018.72</v>
      </c>
      <c r="AP56" s="39">
        <v>24</v>
      </c>
      <c r="AQ56" s="21">
        <f t="shared" si="6"/>
        <v>1196.76</v>
      </c>
      <c r="AR56" s="36">
        <v>12</v>
      </c>
      <c r="AS56" s="21">
        <f t="shared" si="7"/>
        <v>12</v>
      </c>
      <c r="AT56">
        <f t="shared" si="8"/>
        <v>14361.119999999999</v>
      </c>
      <c r="AW56" s="39">
        <v>28.892034258788225</v>
      </c>
      <c r="AX56" s="21">
        <f t="shared" si="9"/>
        <v>1043.8350090702802</v>
      </c>
      <c r="AY56" s="36">
        <v>12</v>
      </c>
      <c r="AZ56" s="21">
        <f t="shared" si="10"/>
        <v>16.892034258788225</v>
      </c>
      <c r="BA56">
        <f t="shared" si="11"/>
        <v>17632.496733737691</v>
      </c>
      <c r="BB56" s="21">
        <f t="shared" si="12"/>
        <v>34855.774383397315</v>
      </c>
    </row>
    <row r="57" spans="1:54" x14ac:dyDescent="0.55000000000000004">
      <c r="A57" s="1" t="s">
        <v>11</v>
      </c>
      <c r="B57" s="1" t="s">
        <v>61</v>
      </c>
      <c r="C57" s="1" t="s">
        <v>2</v>
      </c>
      <c r="D57" s="2">
        <v>50</v>
      </c>
      <c r="E57" s="1">
        <v>432</v>
      </c>
      <c r="H57" s="3" t="s">
        <v>179</v>
      </c>
      <c r="AB57" s="39">
        <v>37.14</v>
      </c>
      <c r="AC57" s="21">
        <f t="shared" si="0"/>
        <v>786.00360000000001</v>
      </c>
      <c r="AD57" s="36">
        <v>12</v>
      </c>
      <c r="AE57" s="21">
        <f t="shared" si="1"/>
        <v>25.14</v>
      </c>
      <c r="AF57">
        <f t="shared" si="2"/>
        <v>19760.130504000001</v>
      </c>
      <c r="AG57" s="21"/>
      <c r="AI57" s="39">
        <v>14</v>
      </c>
      <c r="AJ57" s="21">
        <f t="shared" si="3"/>
        <v>1509.36</v>
      </c>
      <c r="AK57" s="36">
        <v>12</v>
      </c>
      <c r="AL57" s="21">
        <f t="shared" si="4"/>
        <v>2</v>
      </c>
      <c r="AM57">
        <f t="shared" si="5"/>
        <v>3018.72</v>
      </c>
      <c r="AP57" s="39">
        <v>24</v>
      </c>
      <c r="AQ57" s="21">
        <f t="shared" si="6"/>
        <v>1196.76</v>
      </c>
      <c r="AR57" s="36">
        <v>12</v>
      </c>
      <c r="AS57" s="21">
        <f t="shared" si="7"/>
        <v>12</v>
      </c>
      <c r="AT57">
        <f t="shared" si="8"/>
        <v>14361.119999999999</v>
      </c>
      <c r="AW57" s="39">
        <v>28.892034258788225</v>
      </c>
      <c r="AX57" s="21">
        <f t="shared" si="9"/>
        <v>1043.8350090702802</v>
      </c>
      <c r="AY57" s="36">
        <v>12</v>
      </c>
      <c r="AZ57" s="21">
        <f t="shared" si="10"/>
        <v>16.892034258788225</v>
      </c>
      <c r="BA57">
        <f t="shared" si="11"/>
        <v>17632.496733737691</v>
      </c>
      <c r="BB57" s="21">
        <f t="shared" si="12"/>
        <v>34855.774383397315</v>
      </c>
    </row>
    <row r="58" spans="1:54" x14ac:dyDescent="0.55000000000000004">
      <c r="A58" s="1" t="s">
        <v>11</v>
      </c>
      <c r="B58" s="1" t="s">
        <v>61</v>
      </c>
      <c r="C58" s="1" t="s">
        <v>3</v>
      </c>
      <c r="D58" s="2">
        <v>50</v>
      </c>
      <c r="E58" s="1">
        <v>447</v>
      </c>
      <c r="H58" t="s">
        <v>180</v>
      </c>
      <c r="I58" t="s">
        <v>181</v>
      </c>
      <c r="J58">
        <v>589.5</v>
      </c>
      <c r="AB58" s="39">
        <v>37.14</v>
      </c>
      <c r="AC58" s="21">
        <f t="shared" si="0"/>
        <v>786.00360000000001</v>
      </c>
      <c r="AD58" s="36">
        <v>12</v>
      </c>
      <c r="AE58" s="21">
        <f t="shared" si="1"/>
        <v>25.14</v>
      </c>
      <c r="AF58">
        <f t="shared" si="2"/>
        <v>19760.130504000001</v>
      </c>
      <c r="AG58" s="21"/>
      <c r="AI58" s="39">
        <v>14</v>
      </c>
      <c r="AJ58" s="21">
        <f t="shared" si="3"/>
        <v>1509.36</v>
      </c>
      <c r="AK58" s="36">
        <v>12</v>
      </c>
      <c r="AL58" s="21">
        <f t="shared" si="4"/>
        <v>2</v>
      </c>
      <c r="AM58">
        <f t="shared" si="5"/>
        <v>3018.72</v>
      </c>
      <c r="AP58" s="39">
        <v>24</v>
      </c>
      <c r="AQ58" s="21">
        <f t="shared" si="6"/>
        <v>1196.76</v>
      </c>
      <c r="AR58" s="36">
        <v>12</v>
      </c>
      <c r="AS58" s="21">
        <f t="shared" si="7"/>
        <v>12</v>
      </c>
      <c r="AT58">
        <f t="shared" si="8"/>
        <v>14361.119999999999</v>
      </c>
      <c r="AW58" s="39">
        <v>28.892034258788225</v>
      </c>
      <c r="AX58" s="21">
        <f t="shared" si="9"/>
        <v>1043.8350090702802</v>
      </c>
      <c r="AY58" s="36">
        <v>12</v>
      </c>
      <c r="AZ58" s="21">
        <f t="shared" si="10"/>
        <v>16.892034258788225</v>
      </c>
      <c r="BA58">
        <f t="shared" si="11"/>
        <v>17632.496733737691</v>
      </c>
      <c r="BB58" s="21">
        <f t="shared" si="12"/>
        <v>34855.774383397315</v>
      </c>
    </row>
    <row r="59" spans="1:54" x14ac:dyDescent="0.55000000000000004">
      <c r="A59" s="1" t="s">
        <v>11</v>
      </c>
      <c r="B59" s="1" t="s">
        <v>61</v>
      </c>
      <c r="C59" s="1" t="s">
        <v>4</v>
      </c>
      <c r="D59" s="2">
        <v>50</v>
      </c>
      <c r="E59" s="1">
        <v>432</v>
      </c>
      <c r="H59" t="s">
        <v>182</v>
      </c>
      <c r="I59" t="s">
        <v>183</v>
      </c>
      <c r="J59" s="36">
        <v>12969</v>
      </c>
      <c r="R59" t="s">
        <v>95</v>
      </c>
      <c r="S59" s="34" t="s">
        <v>96</v>
      </c>
      <c r="AB59" s="39">
        <v>37.14</v>
      </c>
      <c r="AC59" s="21">
        <f t="shared" si="0"/>
        <v>786.00360000000001</v>
      </c>
      <c r="AD59" s="36">
        <v>12</v>
      </c>
      <c r="AE59" s="21">
        <f t="shared" si="1"/>
        <v>25.14</v>
      </c>
      <c r="AF59">
        <f t="shared" si="2"/>
        <v>19760.130504000001</v>
      </c>
      <c r="AG59" s="21"/>
      <c r="AI59" s="39">
        <v>14</v>
      </c>
      <c r="AJ59" s="21">
        <f t="shared" si="3"/>
        <v>1509.36</v>
      </c>
      <c r="AK59" s="36">
        <v>12</v>
      </c>
      <c r="AL59" s="21">
        <f t="shared" si="4"/>
        <v>2</v>
      </c>
      <c r="AM59">
        <f t="shared" si="5"/>
        <v>3018.72</v>
      </c>
      <c r="AP59" s="39">
        <v>24</v>
      </c>
      <c r="AQ59" s="21">
        <f t="shared" si="6"/>
        <v>1196.76</v>
      </c>
      <c r="AR59" s="36">
        <v>12</v>
      </c>
      <c r="AS59" s="21">
        <f t="shared" si="7"/>
        <v>12</v>
      </c>
      <c r="AT59">
        <f t="shared" si="8"/>
        <v>14361.119999999999</v>
      </c>
      <c r="AW59" s="39">
        <v>28.892034258788225</v>
      </c>
      <c r="AX59" s="21">
        <f t="shared" si="9"/>
        <v>1043.8350090702802</v>
      </c>
      <c r="AY59" s="36">
        <v>12</v>
      </c>
      <c r="AZ59" s="21">
        <f t="shared" si="10"/>
        <v>16.892034258788225</v>
      </c>
      <c r="BA59">
        <f t="shared" si="11"/>
        <v>17632.496733737691</v>
      </c>
      <c r="BB59" s="21">
        <f t="shared" si="12"/>
        <v>34855.774383397315</v>
      </c>
    </row>
    <row r="60" spans="1:54" x14ac:dyDescent="0.55000000000000004">
      <c r="A60" s="1" t="s">
        <v>11</v>
      </c>
      <c r="B60" s="1" t="s">
        <v>61</v>
      </c>
      <c r="C60" s="1" t="s">
        <v>5</v>
      </c>
      <c r="D60" s="2">
        <v>50</v>
      </c>
      <c r="E60" s="1">
        <v>420</v>
      </c>
      <c r="H60" t="s">
        <v>184</v>
      </c>
      <c r="I60">
        <f>SUM(19753,12969)</f>
        <v>32722</v>
      </c>
      <c r="S60" s="33"/>
      <c r="AB60" s="39">
        <v>37.14</v>
      </c>
      <c r="AC60" s="21">
        <f t="shared" si="0"/>
        <v>786.00360000000001</v>
      </c>
      <c r="AD60" s="36">
        <v>12</v>
      </c>
      <c r="AE60" s="21">
        <f t="shared" si="1"/>
        <v>25.14</v>
      </c>
      <c r="AF60">
        <f t="shared" si="2"/>
        <v>19760.130504000001</v>
      </c>
      <c r="AG60" s="21"/>
      <c r="AI60" s="39">
        <v>14</v>
      </c>
      <c r="AJ60" s="21">
        <f t="shared" si="3"/>
        <v>1509.36</v>
      </c>
      <c r="AK60" s="36">
        <v>12</v>
      </c>
      <c r="AL60" s="21">
        <f t="shared" si="4"/>
        <v>2</v>
      </c>
      <c r="AM60">
        <f t="shared" si="5"/>
        <v>3018.72</v>
      </c>
      <c r="AP60" s="39">
        <v>24</v>
      </c>
      <c r="AQ60" s="21">
        <f t="shared" si="6"/>
        <v>1196.76</v>
      </c>
      <c r="AR60" s="36">
        <v>12</v>
      </c>
      <c r="AS60" s="21">
        <f t="shared" si="7"/>
        <v>12</v>
      </c>
      <c r="AT60">
        <f t="shared" si="8"/>
        <v>14361.119999999999</v>
      </c>
      <c r="AW60" s="39">
        <v>28.892034258788225</v>
      </c>
      <c r="AX60" s="21">
        <f t="shared" si="9"/>
        <v>1043.8350090702802</v>
      </c>
      <c r="AY60" s="36">
        <v>12</v>
      </c>
      <c r="AZ60" s="21">
        <f t="shared" si="10"/>
        <v>16.892034258788225</v>
      </c>
      <c r="BA60">
        <f t="shared" si="11"/>
        <v>17632.496733737691</v>
      </c>
      <c r="BB60" s="21">
        <f t="shared" si="12"/>
        <v>34855.774383397315</v>
      </c>
    </row>
    <row r="61" spans="1:54" x14ac:dyDescent="0.55000000000000004">
      <c r="A61" s="1" t="s">
        <v>11</v>
      </c>
      <c r="B61" s="1" t="s">
        <v>61</v>
      </c>
      <c r="C61" s="1" t="s">
        <v>6</v>
      </c>
      <c r="D61" s="2">
        <v>50</v>
      </c>
      <c r="E61" s="1">
        <v>440</v>
      </c>
      <c r="S61" s="33" t="s">
        <v>97</v>
      </c>
      <c r="AB61" s="39">
        <v>37.14</v>
      </c>
      <c r="AC61" s="21">
        <f t="shared" si="0"/>
        <v>786.00360000000001</v>
      </c>
      <c r="AD61" s="36">
        <v>12</v>
      </c>
      <c r="AE61" s="21">
        <f t="shared" si="1"/>
        <v>25.14</v>
      </c>
      <c r="AF61">
        <f t="shared" si="2"/>
        <v>19760.130504000001</v>
      </c>
      <c r="AG61" s="21"/>
      <c r="AI61" s="39">
        <v>14</v>
      </c>
      <c r="AJ61" s="21">
        <f t="shared" si="3"/>
        <v>1509.36</v>
      </c>
      <c r="AK61" s="36">
        <v>12</v>
      </c>
      <c r="AL61" s="21">
        <f t="shared" si="4"/>
        <v>2</v>
      </c>
      <c r="AM61">
        <f t="shared" si="5"/>
        <v>3018.72</v>
      </c>
      <c r="AP61" s="39">
        <v>24</v>
      </c>
      <c r="AQ61" s="21">
        <f t="shared" si="6"/>
        <v>1196.76</v>
      </c>
      <c r="AR61" s="36">
        <v>12</v>
      </c>
      <c r="AS61" s="21">
        <f t="shared" si="7"/>
        <v>12</v>
      </c>
      <c r="AT61">
        <f t="shared" si="8"/>
        <v>14361.119999999999</v>
      </c>
      <c r="AW61" s="39">
        <v>28.892034258788225</v>
      </c>
      <c r="AX61" s="21">
        <f t="shared" si="9"/>
        <v>1043.8350090702802</v>
      </c>
      <c r="AY61" s="36">
        <v>12</v>
      </c>
      <c r="AZ61" s="21">
        <f t="shared" si="10"/>
        <v>16.892034258788225</v>
      </c>
      <c r="BA61">
        <f t="shared" si="11"/>
        <v>17632.496733737691</v>
      </c>
      <c r="BB61" s="21">
        <f t="shared" si="12"/>
        <v>34855.774383397315</v>
      </c>
    </row>
    <row r="62" spans="1:54" x14ac:dyDescent="0.55000000000000004">
      <c r="A62" s="1" t="s">
        <v>11</v>
      </c>
      <c r="B62" s="1" t="s">
        <v>63</v>
      </c>
      <c r="C62" s="1" t="s">
        <v>1</v>
      </c>
      <c r="D62" s="2">
        <v>50</v>
      </c>
      <c r="E62" s="1">
        <v>498</v>
      </c>
      <c r="H62" t="s">
        <v>186</v>
      </c>
      <c r="AB62" s="39">
        <v>37.14</v>
      </c>
      <c r="AC62" s="21">
        <f t="shared" si="0"/>
        <v>786.00360000000001</v>
      </c>
      <c r="AD62" s="36">
        <v>12</v>
      </c>
      <c r="AE62" s="21">
        <f t="shared" si="1"/>
        <v>25.14</v>
      </c>
      <c r="AF62">
        <f t="shared" si="2"/>
        <v>19760.130504000001</v>
      </c>
      <c r="AG62" s="21"/>
      <c r="AI62" s="39">
        <v>14</v>
      </c>
      <c r="AJ62" s="21">
        <f t="shared" si="3"/>
        <v>1509.36</v>
      </c>
      <c r="AK62" s="36">
        <v>12</v>
      </c>
      <c r="AL62" s="21">
        <f t="shared" si="4"/>
        <v>2</v>
      </c>
      <c r="AM62">
        <f t="shared" si="5"/>
        <v>3018.72</v>
      </c>
      <c r="AP62" s="39">
        <v>24</v>
      </c>
      <c r="AQ62" s="21">
        <f t="shared" si="6"/>
        <v>1196.76</v>
      </c>
      <c r="AR62" s="36">
        <v>12</v>
      </c>
      <c r="AS62" s="21">
        <f t="shared" si="7"/>
        <v>12</v>
      </c>
      <c r="AT62">
        <f t="shared" si="8"/>
        <v>14361.119999999999</v>
      </c>
      <c r="AW62" s="39">
        <v>28.892034258788225</v>
      </c>
      <c r="AX62" s="21">
        <f t="shared" si="9"/>
        <v>1043.8350090702802</v>
      </c>
      <c r="AY62" s="36">
        <v>12</v>
      </c>
      <c r="AZ62" s="21">
        <f t="shared" si="10"/>
        <v>16.892034258788225</v>
      </c>
      <c r="BA62">
        <f t="shared" si="11"/>
        <v>17632.496733737691</v>
      </c>
      <c r="BB62" s="21">
        <f t="shared" si="12"/>
        <v>34855.774383397315</v>
      </c>
    </row>
    <row r="63" spans="1:54" x14ac:dyDescent="0.55000000000000004">
      <c r="A63" s="1" t="s">
        <v>11</v>
      </c>
      <c r="B63" s="1" t="s">
        <v>63</v>
      </c>
      <c r="C63" s="1" t="s">
        <v>2</v>
      </c>
      <c r="D63" s="2">
        <v>50</v>
      </c>
      <c r="E63" s="1">
        <v>398</v>
      </c>
      <c r="H63" t="s">
        <v>187</v>
      </c>
      <c r="S63" t="s">
        <v>98</v>
      </c>
      <c r="AB63" s="39">
        <v>37.14</v>
      </c>
      <c r="AC63" s="21">
        <f t="shared" si="0"/>
        <v>786.00360000000001</v>
      </c>
      <c r="AD63" s="36">
        <v>12</v>
      </c>
      <c r="AE63" s="21">
        <f t="shared" si="1"/>
        <v>25.14</v>
      </c>
      <c r="AF63">
        <f t="shared" si="2"/>
        <v>19760.130504000001</v>
      </c>
      <c r="AG63" s="21"/>
      <c r="AI63" s="39">
        <v>14</v>
      </c>
      <c r="AJ63" s="21">
        <f t="shared" si="3"/>
        <v>1509.36</v>
      </c>
      <c r="AK63" s="36">
        <v>12</v>
      </c>
      <c r="AL63" s="21">
        <f t="shared" si="4"/>
        <v>2</v>
      </c>
      <c r="AM63">
        <f t="shared" si="5"/>
        <v>3018.72</v>
      </c>
      <c r="AP63" s="39">
        <v>24</v>
      </c>
      <c r="AQ63" s="21">
        <f t="shared" si="6"/>
        <v>1196.76</v>
      </c>
      <c r="AR63" s="36">
        <v>12</v>
      </c>
      <c r="AS63" s="21">
        <f t="shared" si="7"/>
        <v>12</v>
      </c>
      <c r="AT63">
        <f t="shared" si="8"/>
        <v>14361.119999999999</v>
      </c>
      <c r="AW63" s="39">
        <v>28.892034258788225</v>
      </c>
      <c r="AX63" s="21">
        <f t="shared" si="9"/>
        <v>1043.8350090702802</v>
      </c>
      <c r="AY63" s="36">
        <v>12</v>
      </c>
      <c r="AZ63" s="21">
        <f t="shared" si="10"/>
        <v>16.892034258788225</v>
      </c>
      <c r="BA63">
        <f t="shared" si="11"/>
        <v>17632.496733737691</v>
      </c>
      <c r="BB63" s="21">
        <f t="shared" si="12"/>
        <v>34855.774383397315</v>
      </c>
    </row>
    <row r="64" spans="1:54" x14ac:dyDescent="0.55000000000000004">
      <c r="A64" s="1" t="s">
        <v>11</v>
      </c>
      <c r="B64" s="1" t="s">
        <v>63</v>
      </c>
      <c r="C64" s="1" t="s">
        <v>3</v>
      </c>
      <c r="D64" s="2">
        <v>50</v>
      </c>
      <c r="E64" s="1">
        <v>323</v>
      </c>
      <c r="AB64" s="39">
        <v>37.14</v>
      </c>
      <c r="AC64" s="21">
        <f t="shared" si="0"/>
        <v>786.00360000000001</v>
      </c>
      <c r="AD64" s="36">
        <v>12</v>
      </c>
      <c r="AE64" s="21">
        <f t="shared" si="1"/>
        <v>25.14</v>
      </c>
      <c r="AF64">
        <f t="shared" si="2"/>
        <v>19760.130504000001</v>
      </c>
      <c r="AG64" s="21"/>
      <c r="AI64" s="39">
        <v>14</v>
      </c>
      <c r="AJ64" s="21">
        <f t="shared" si="3"/>
        <v>1509.36</v>
      </c>
      <c r="AK64" s="36">
        <v>12</v>
      </c>
      <c r="AL64" s="21">
        <f t="shared" si="4"/>
        <v>2</v>
      </c>
      <c r="AM64">
        <f t="shared" si="5"/>
        <v>3018.72</v>
      </c>
      <c r="AP64" s="39">
        <v>24</v>
      </c>
      <c r="AQ64" s="21">
        <f t="shared" si="6"/>
        <v>1196.76</v>
      </c>
      <c r="AR64" s="36">
        <v>12</v>
      </c>
      <c r="AS64" s="21">
        <f t="shared" si="7"/>
        <v>12</v>
      </c>
      <c r="AT64">
        <f t="shared" si="8"/>
        <v>14361.119999999999</v>
      </c>
      <c r="AW64" s="39">
        <v>28.892034258788225</v>
      </c>
      <c r="AX64" s="21">
        <f t="shared" si="9"/>
        <v>1043.8350090702802</v>
      </c>
      <c r="AY64" s="36">
        <v>12</v>
      </c>
      <c r="AZ64" s="21">
        <f t="shared" si="10"/>
        <v>16.892034258788225</v>
      </c>
      <c r="BA64">
        <f t="shared" si="11"/>
        <v>17632.496733737691</v>
      </c>
      <c r="BB64" s="21">
        <f t="shared" si="12"/>
        <v>34855.774383397315</v>
      </c>
    </row>
    <row r="65" spans="1:54" x14ac:dyDescent="0.55000000000000004">
      <c r="A65" s="1" t="s">
        <v>11</v>
      </c>
      <c r="B65" s="1" t="s">
        <v>63</v>
      </c>
      <c r="C65" s="1" t="s">
        <v>4</v>
      </c>
      <c r="D65" s="2">
        <v>50</v>
      </c>
      <c r="E65" s="1">
        <v>374</v>
      </c>
      <c r="S65" t="s">
        <v>99</v>
      </c>
      <c r="AB65" s="39">
        <v>37.14</v>
      </c>
      <c r="AC65" s="21">
        <f t="shared" si="0"/>
        <v>786.00360000000001</v>
      </c>
      <c r="AD65" s="36">
        <v>12</v>
      </c>
      <c r="AE65" s="21">
        <f t="shared" si="1"/>
        <v>25.14</v>
      </c>
      <c r="AF65">
        <f t="shared" si="2"/>
        <v>19760.130504000001</v>
      </c>
      <c r="AG65" s="21"/>
      <c r="AI65" s="39">
        <v>14</v>
      </c>
      <c r="AJ65" s="21">
        <f t="shared" si="3"/>
        <v>1509.36</v>
      </c>
      <c r="AK65" s="36">
        <v>12</v>
      </c>
      <c r="AL65" s="21">
        <f t="shared" si="4"/>
        <v>2</v>
      </c>
      <c r="AM65">
        <f t="shared" si="5"/>
        <v>3018.72</v>
      </c>
      <c r="AP65" s="39">
        <v>24</v>
      </c>
      <c r="AQ65" s="21">
        <f t="shared" si="6"/>
        <v>1196.76</v>
      </c>
      <c r="AR65" s="36">
        <v>12</v>
      </c>
      <c r="AS65" s="21">
        <f t="shared" si="7"/>
        <v>12</v>
      </c>
      <c r="AT65">
        <f t="shared" si="8"/>
        <v>14361.119999999999</v>
      </c>
      <c r="AW65" s="39">
        <v>28.892034258788225</v>
      </c>
      <c r="AX65" s="21">
        <f t="shared" si="9"/>
        <v>1043.8350090702802</v>
      </c>
      <c r="AY65" s="36">
        <v>12</v>
      </c>
      <c r="AZ65" s="21">
        <f t="shared" si="10"/>
        <v>16.892034258788225</v>
      </c>
      <c r="BA65">
        <f t="shared" si="11"/>
        <v>17632.496733737691</v>
      </c>
      <c r="BB65" s="21">
        <f t="shared" si="12"/>
        <v>34855.774383397315</v>
      </c>
    </row>
    <row r="66" spans="1:54" x14ac:dyDescent="0.55000000000000004">
      <c r="A66" s="1" t="s">
        <v>11</v>
      </c>
      <c r="B66" s="1" t="s">
        <v>63</v>
      </c>
      <c r="C66" s="1" t="s">
        <v>5</v>
      </c>
      <c r="D66" s="2">
        <v>50</v>
      </c>
      <c r="E66" s="1">
        <v>426</v>
      </c>
      <c r="AB66" s="39">
        <v>37.14</v>
      </c>
      <c r="AC66" s="21">
        <f t="shared" si="0"/>
        <v>786.00360000000001</v>
      </c>
      <c r="AD66" s="36">
        <v>12</v>
      </c>
      <c r="AE66" s="21">
        <f t="shared" si="1"/>
        <v>25.14</v>
      </c>
      <c r="AF66">
        <f t="shared" si="2"/>
        <v>19760.130504000001</v>
      </c>
      <c r="AG66" s="21"/>
      <c r="AI66" s="39">
        <v>14</v>
      </c>
      <c r="AJ66" s="21">
        <f t="shared" si="3"/>
        <v>1509.36</v>
      </c>
      <c r="AK66" s="36">
        <v>12</v>
      </c>
      <c r="AL66" s="21">
        <f t="shared" si="4"/>
        <v>2</v>
      </c>
      <c r="AM66">
        <f t="shared" si="5"/>
        <v>3018.72</v>
      </c>
      <c r="AP66" s="39">
        <v>24</v>
      </c>
      <c r="AQ66" s="21">
        <f t="shared" si="6"/>
        <v>1196.76</v>
      </c>
      <c r="AR66" s="36">
        <v>12</v>
      </c>
      <c r="AS66" s="21">
        <f t="shared" si="7"/>
        <v>12</v>
      </c>
      <c r="AT66">
        <f t="shared" si="8"/>
        <v>14361.119999999999</v>
      </c>
      <c r="AW66" s="39">
        <v>28.892034258788225</v>
      </c>
      <c r="AX66" s="21">
        <f t="shared" si="9"/>
        <v>1043.8350090702802</v>
      </c>
      <c r="AY66" s="36">
        <v>12</v>
      </c>
      <c r="AZ66" s="21">
        <f t="shared" si="10"/>
        <v>16.892034258788225</v>
      </c>
      <c r="BA66">
        <f t="shared" si="11"/>
        <v>17632.496733737691</v>
      </c>
      <c r="BB66" s="21">
        <f t="shared" si="12"/>
        <v>34855.774383397315</v>
      </c>
    </row>
    <row r="67" spans="1:54" x14ac:dyDescent="0.55000000000000004">
      <c r="A67" s="1" t="s">
        <v>11</v>
      </c>
      <c r="B67" s="1" t="s">
        <v>63</v>
      </c>
      <c r="C67" s="1" t="s">
        <v>6</v>
      </c>
      <c r="D67" s="2">
        <v>50</v>
      </c>
      <c r="E67" s="1">
        <v>287</v>
      </c>
      <c r="S67" t="s">
        <v>100</v>
      </c>
      <c r="AB67" s="39">
        <v>37.14</v>
      </c>
      <c r="AC67" s="21">
        <f t="shared" si="0"/>
        <v>786.00360000000001</v>
      </c>
      <c r="AD67" s="36">
        <v>12</v>
      </c>
      <c r="AE67" s="21">
        <f t="shared" si="1"/>
        <v>25.14</v>
      </c>
      <c r="AF67">
        <f t="shared" si="2"/>
        <v>19760.130504000001</v>
      </c>
      <c r="AG67" s="21"/>
      <c r="AI67" s="39">
        <v>14</v>
      </c>
      <c r="AJ67" s="21">
        <f t="shared" si="3"/>
        <v>1509.36</v>
      </c>
      <c r="AK67" s="36">
        <v>12</v>
      </c>
      <c r="AL67" s="21">
        <f t="shared" si="4"/>
        <v>2</v>
      </c>
      <c r="AM67">
        <f t="shared" si="5"/>
        <v>3018.72</v>
      </c>
      <c r="AP67" s="39">
        <v>24</v>
      </c>
      <c r="AQ67" s="21">
        <f t="shared" si="6"/>
        <v>1196.76</v>
      </c>
      <c r="AR67" s="36">
        <v>12</v>
      </c>
      <c r="AS67" s="21">
        <f t="shared" si="7"/>
        <v>12</v>
      </c>
      <c r="AT67">
        <f t="shared" si="8"/>
        <v>14361.119999999999</v>
      </c>
      <c r="AW67" s="39">
        <v>28.892034258788225</v>
      </c>
      <c r="AX67" s="21">
        <f t="shared" si="9"/>
        <v>1043.8350090702802</v>
      </c>
      <c r="AY67" s="36">
        <v>12</v>
      </c>
      <c r="AZ67" s="21">
        <f t="shared" si="10"/>
        <v>16.892034258788225</v>
      </c>
      <c r="BA67">
        <f t="shared" si="11"/>
        <v>17632.496733737691</v>
      </c>
      <c r="BB67" s="21">
        <f t="shared" si="12"/>
        <v>34855.774383397315</v>
      </c>
    </row>
    <row r="68" spans="1:54" x14ac:dyDescent="0.55000000000000004">
      <c r="A68" s="1" t="s">
        <v>11</v>
      </c>
      <c r="B68" s="1" t="s">
        <v>64</v>
      </c>
      <c r="C68" s="1" t="s">
        <v>1</v>
      </c>
      <c r="D68" s="2">
        <v>50</v>
      </c>
      <c r="E68" s="1">
        <v>459</v>
      </c>
      <c r="AB68" s="39">
        <v>37.14</v>
      </c>
      <c r="AC68" s="21">
        <f t="shared" si="0"/>
        <v>786.00360000000001</v>
      </c>
      <c r="AD68" s="36">
        <v>12</v>
      </c>
      <c r="AE68" s="21">
        <f t="shared" si="1"/>
        <v>25.14</v>
      </c>
      <c r="AF68">
        <f t="shared" si="2"/>
        <v>19760.130504000001</v>
      </c>
      <c r="AG68" s="21"/>
      <c r="AI68" s="39">
        <v>14</v>
      </c>
      <c r="AJ68" s="21">
        <f t="shared" si="3"/>
        <v>1509.36</v>
      </c>
      <c r="AK68" s="36">
        <v>12</v>
      </c>
      <c r="AL68" s="21">
        <f t="shared" si="4"/>
        <v>2</v>
      </c>
      <c r="AM68">
        <f t="shared" si="5"/>
        <v>3018.72</v>
      </c>
      <c r="AP68" s="39">
        <v>24</v>
      </c>
      <c r="AQ68" s="21">
        <f t="shared" si="6"/>
        <v>1196.76</v>
      </c>
      <c r="AR68" s="36">
        <v>12</v>
      </c>
      <c r="AS68" s="21">
        <f t="shared" si="7"/>
        <v>12</v>
      </c>
      <c r="AT68">
        <f t="shared" si="8"/>
        <v>14361.119999999999</v>
      </c>
      <c r="AW68" s="39">
        <v>28.892034258788225</v>
      </c>
      <c r="AX68" s="21">
        <f t="shared" si="9"/>
        <v>1043.8350090702802</v>
      </c>
      <c r="AY68" s="36">
        <v>12</v>
      </c>
      <c r="AZ68" s="21">
        <f t="shared" si="10"/>
        <v>16.892034258788225</v>
      </c>
      <c r="BA68">
        <f t="shared" si="11"/>
        <v>17632.496733737691</v>
      </c>
      <c r="BB68" s="21">
        <f t="shared" si="12"/>
        <v>34855.774383397315</v>
      </c>
    </row>
    <row r="69" spans="1:54" x14ac:dyDescent="0.55000000000000004">
      <c r="A69" s="1" t="s">
        <v>11</v>
      </c>
      <c r="B69" s="1" t="s">
        <v>64</v>
      </c>
      <c r="C69" s="1" t="s">
        <v>2</v>
      </c>
      <c r="D69" s="2">
        <v>50</v>
      </c>
      <c r="E69" s="1">
        <v>398</v>
      </c>
      <c r="S69" t="s">
        <v>101</v>
      </c>
      <c r="AB69" s="39">
        <v>37.14</v>
      </c>
      <c r="AC69" s="21">
        <f t="shared" si="0"/>
        <v>786.00360000000001</v>
      </c>
      <c r="AD69" s="36">
        <v>12</v>
      </c>
      <c r="AE69" s="21">
        <f t="shared" si="1"/>
        <v>25.14</v>
      </c>
      <c r="AF69">
        <f t="shared" si="2"/>
        <v>19760.130504000001</v>
      </c>
      <c r="AG69" s="21"/>
      <c r="AI69" s="39">
        <v>14</v>
      </c>
      <c r="AJ69" s="21">
        <f t="shared" si="3"/>
        <v>1509.36</v>
      </c>
      <c r="AK69" s="36">
        <v>12</v>
      </c>
      <c r="AL69" s="21">
        <f t="shared" si="4"/>
        <v>2</v>
      </c>
      <c r="AM69">
        <f t="shared" si="5"/>
        <v>3018.72</v>
      </c>
      <c r="AP69" s="39">
        <v>24</v>
      </c>
      <c r="AQ69" s="21">
        <f t="shared" si="6"/>
        <v>1196.76</v>
      </c>
      <c r="AR69" s="36">
        <v>12</v>
      </c>
      <c r="AS69" s="21">
        <f t="shared" si="7"/>
        <v>12</v>
      </c>
      <c r="AT69">
        <f t="shared" si="8"/>
        <v>14361.119999999999</v>
      </c>
      <c r="AW69" s="39">
        <v>28.892034258788225</v>
      </c>
      <c r="AX69" s="21">
        <f t="shared" si="9"/>
        <v>1043.8350090702802</v>
      </c>
      <c r="AY69" s="36">
        <v>12</v>
      </c>
      <c r="AZ69" s="21">
        <f t="shared" si="10"/>
        <v>16.892034258788225</v>
      </c>
      <c r="BA69">
        <f t="shared" si="11"/>
        <v>17632.496733737691</v>
      </c>
      <c r="BB69" s="21">
        <f t="shared" si="12"/>
        <v>34855.774383397315</v>
      </c>
    </row>
    <row r="70" spans="1:54" x14ac:dyDescent="0.55000000000000004">
      <c r="A70" s="1" t="s">
        <v>11</v>
      </c>
      <c r="B70" s="1" t="s">
        <v>64</v>
      </c>
      <c r="C70" s="1" t="s">
        <v>3</v>
      </c>
      <c r="D70" s="2">
        <v>50</v>
      </c>
      <c r="E70" s="1">
        <v>368</v>
      </c>
      <c r="AB70" s="39">
        <v>37.14</v>
      </c>
      <c r="AC70" s="21">
        <f t="shared" si="0"/>
        <v>786.00360000000001</v>
      </c>
      <c r="AD70" s="36">
        <v>12</v>
      </c>
      <c r="AE70" s="21">
        <f t="shared" si="1"/>
        <v>25.14</v>
      </c>
      <c r="AF70">
        <f t="shared" si="2"/>
        <v>19760.130504000001</v>
      </c>
      <c r="AG70" s="21"/>
      <c r="AI70" s="39">
        <v>14</v>
      </c>
      <c r="AJ70" s="21">
        <f t="shared" si="3"/>
        <v>1509.36</v>
      </c>
      <c r="AK70" s="36">
        <v>12</v>
      </c>
      <c r="AL70" s="21">
        <f t="shared" si="4"/>
        <v>2</v>
      </c>
      <c r="AM70">
        <f t="shared" si="5"/>
        <v>3018.72</v>
      </c>
      <c r="AP70" s="39">
        <v>24</v>
      </c>
      <c r="AQ70" s="21">
        <f t="shared" si="6"/>
        <v>1196.76</v>
      </c>
      <c r="AR70" s="36">
        <v>12</v>
      </c>
      <c r="AS70" s="21">
        <f t="shared" si="7"/>
        <v>12</v>
      </c>
      <c r="AT70">
        <f t="shared" si="8"/>
        <v>14361.119999999999</v>
      </c>
      <c r="AW70" s="39">
        <v>28.892034258788225</v>
      </c>
      <c r="AX70" s="21">
        <f t="shared" si="9"/>
        <v>1043.8350090702802</v>
      </c>
      <c r="AY70" s="36">
        <v>12</v>
      </c>
      <c r="AZ70" s="21">
        <f t="shared" si="10"/>
        <v>16.892034258788225</v>
      </c>
      <c r="BA70">
        <f t="shared" si="11"/>
        <v>17632.496733737691</v>
      </c>
      <c r="BB70" s="21">
        <f t="shared" si="12"/>
        <v>34855.774383397315</v>
      </c>
    </row>
    <row r="71" spans="1:54" ht="15.6" x14ac:dyDescent="0.55000000000000004">
      <c r="A71" s="1" t="s">
        <v>11</v>
      </c>
      <c r="B71" s="1" t="s">
        <v>64</v>
      </c>
      <c r="C71" s="1" t="s">
        <v>4</v>
      </c>
      <c r="D71" s="2">
        <v>50</v>
      </c>
      <c r="E71" s="1">
        <v>431</v>
      </c>
      <c r="S71" s="35" t="s">
        <v>102</v>
      </c>
      <c r="AB71" s="39">
        <v>37.14</v>
      </c>
      <c r="AC71" s="21">
        <f t="shared" si="0"/>
        <v>786.00360000000001</v>
      </c>
      <c r="AD71" s="36">
        <v>12</v>
      </c>
      <c r="AE71" s="21">
        <f t="shared" si="1"/>
        <v>25.14</v>
      </c>
      <c r="AF71">
        <f t="shared" si="2"/>
        <v>19760.130504000001</v>
      </c>
      <c r="AG71" s="21"/>
      <c r="AI71" s="39">
        <v>14</v>
      </c>
      <c r="AJ71" s="21">
        <f t="shared" si="3"/>
        <v>1509.36</v>
      </c>
      <c r="AK71" s="36">
        <v>12</v>
      </c>
      <c r="AL71" s="21">
        <f t="shared" si="4"/>
        <v>2</v>
      </c>
      <c r="AM71">
        <f t="shared" si="5"/>
        <v>3018.72</v>
      </c>
      <c r="AP71" s="39">
        <v>24</v>
      </c>
      <c r="AQ71" s="21">
        <f t="shared" si="6"/>
        <v>1196.76</v>
      </c>
      <c r="AR71" s="36">
        <v>12</v>
      </c>
      <c r="AS71" s="21">
        <f t="shared" si="7"/>
        <v>12</v>
      </c>
      <c r="AT71">
        <f t="shared" si="8"/>
        <v>14361.119999999999</v>
      </c>
      <c r="AW71" s="39">
        <v>28.892034258788225</v>
      </c>
      <c r="AX71" s="21">
        <f t="shared" si="9"/>
        <v>1043.8350090702802</v>
      </c>
      <c r="AY71" s="36">
        <v>12</v>
      </c>
      <c r="AZ71" s="21">
        <f t="shared" si="10"/>
        <v>16.892034258788225</v>
      </c>
      <c r="BA71">
        <f t="shared" si="11"/>
        <v>17632.496733737691</v>
      </c>
      <c r="BB71" s="21">
        <f t="shared" si="12"/>
        <v>34855.774383397315</v>
      </c>
    </row>
    <row r="72" spans="1:54" x14ac:dyDescent="0.55000000000000004">
      <c r="A72" s="1" t="s">
        <v>11</v>
      </c>
      <c r="B72" s="1" t="s">
        <v>64</v>
      </c>
      <c r="C72" s="1" t="s">
        <v>5</v>
      </c>
      <c r="D72" s="2">
        <v>50</v>
      </c>
      <c r="E72" s="1">
        <v>300</v>
      </c>
      <c r="S72" s="33"/>
      <c r="AB72" s="39">
        <v>37.14</v>
      </c>
      <c r="AC72" s="21">
        <f t="shared" si="0"/>
        <v>786.00360000000001</v>
      </c>
      <c r="AD72" s="36">
        <v>12</v>
      </c>
      <c r="AE72" s="21">
        <f t="shared" si="1"/>
        <v>25.14</v>
      </c>
      <c r="AF72">
        <f t="shared" si="2"/>
        <v>19760.130504000001</v>
      </c>
      <c r="AG72" s="21"/>
      <c r="AI72" s="39">
        <v>14</v>
      </c>
      <c r="AJ72" s="21">
        <f t="shared" si="3"/>
        <v>1509.36</v>
      </c>
      <c r="AK72" s="36">
        <v>12</v>
      </c>
      <c r="AL72" s="21">
        <f t="shared" si="4"/>
        <v>2</v>
      </c>
      <c r="AM72">
        <f t="shared" si="5"/>
        <v>3018.72</v>
      </c>
      <c r="AP72" s="39">
        <v>24</v>
      </c>
      <c r="AQ72" s="21">
        <f t="shared" si="6"/>
        <v>1196.76</v>
      </c>
      <c r="AR72" s="36">
        <v>12</v>
      </c>
      <c r="AS72" s="21">
        <f t="shared" si="7"/>
        <v>12</v>
      </c>
      <c r="AT72">
        <f t="shared" si="8"/>
        <v>14361.119999999999</v>
      </c>
      <c r="AW72" s="39">
        <v>28.892034258788225</v>
      </c>
      <c r="AX72" s="21">
        <f t="shared" si="9"/>
        <v>1043.8350090702802</v>
      </c>
      <c r="AY72" s="36">
        <v>12</v>
      </c>
      <c r="AZ72" s="21">
        <f t="shared" si="10"/>
        <v>16.892034258788225</v>
      </c>
      <c r="BA72">
        <f t="shared" si="11"/>
        <v>17632.496733737691</v>
      </c>
      <c r="BB72" s="21">
        <f t="shared" si="12"/>
        <v>34855.774383397315</v>
      </c>
    </row>
    <row r="73" spans="1:54" x14ac:dyDescent="0.55000000000000004">
      <c r="A73" s="1" t="s">
        <v>11</v>
      </c>
      <c r="B73" s="1" t="s">
        <v>64</v>
      </c>
      <c r="C73" s="1" t="s">
        <v>6</v>
      </c>
      <c r="D73" s="2">
        <v>50</v>
      </c>
      <c r="E73" s="1">
        <v>340</v>
      </c>
      <c r="S73" s="33" t="s">
        <v>103</v>
      </c>
      <c r="AB73" s="39">
        <v>37.14</v>
      </c>
      <c r="AC73" s="21">
        <f t="shared" ref="AC73:AC115" si="13">-31.26*AB73+1947</f>
        <v>786.00360000000001</v>
      </c>
      <c r="AD73" s="36">
        <v>12</v>
      </c>
      <c r="AE73" s="21">
        <f t="shared" ref="AE73:AE115" si="14">AB73-AD73</f>
        <v>25.14</v>
      </c>
      <c r="AF73">
        <f t="shared" ref="AF73:AF115" si="15">AE73*AC73</f>
        <v>19760.130504000001</v>
      </c>
      <c r="AG73" s="21"/>
      <c r="AI73" s="39">
        <v>14</v>
      </c>
      <c r="AJ73" s="21">
        <f t="shared" ref="AJ73:AJ115" si="16">-31.26*AI73+1947</f>
        <v>1509.36</v>
      </c>
      <c r="AK73" s="36">
        <v>12</v>
      </c>
      <c r="AL73" s="21">
        <f t="shared" ref="AL73:AL115" si="17">AI73-AK73</f>
        <v>2</v>
      </c>
      <c r="AM73">
        <f t="shared" ref="AM73:AM115" si="18">AL73*AJ73</f>
        <v>3018.72</v>
      </c>
      <c r="AP73" s="39">
        <v>24</v>
      </c>
      <c r="AQ73" s="21">
        <f t="shared" ref="AQ73:AQ115" si="19">-31.26*AP73+1947</f>
        <v>1196.76</v>
      </c>
      <c r="AR73" s="36">
        <v>12</v>
      </c>
      <c r="AS73" s="21">
        <f t="shared" ref="AS73:AS115" si="20">AP73-AR73</f>
        <v>12</v>
      </c>
      <c r="AT73">
        <f t="shared" ref="AT73:AT115" si="21">AS73*AQ73</f>
        <v>14361.119999999999</v>
      </c>
      <c r="AW73" s="39">
        <v>28.892034258788225</v>
      </c>
      <c r="AX73" s="21">
        <f t="shared" ref="AX73:AX115" si="22">-31.26*AW73+1947</f>
        <v>1043.8350090702802</v>
      </c>
      <c r="AY73" s="36">
        <v>12</v>
      </c>
      <c r="AZ73" s="21">
        <f t="shared" ref="AZ73:AZ115" si="23">AW73-AY73</f>
        <v>16.892034258788225</v>
      </c>
      <c r="BA73">
        <f t="shared" ref="BA73:BA115" si="24">AZ73*AX73</f>
        <v>17632.496733737691</v>
      </c>
      <c r="BB73" s="21">
        <f t="shared" ref="BB73:BB115" si="25">BA73+(22*0.75*AX73)</f>
        <v>34855.774383397315</v>
      </c>
    </row>
    <row r="74" spans="1:54" x14ac:dyDescent="0.55000000000000004">
      <c r="A74" s="1" t="s">
        <v>11</v>
      </c>
      <c r="B74" s="1" t="s">
        <v>65</v>
      </c>
      <c r="C74" s="1" t="s">
        <v>1</v>
      </c>
      <c r="D74" s="2">
        <v>50</v>
      </c>
      <c r="E74" s="1">
        <v>400</v>
      </c>
      <c r="S74" s="33"/>
      <c r="AB74" s="39">
        <v>37.14</v>
      </c>
      <c r="AC74" s="21">
        <f t="shared" si="13"/>
        <v>786.00360000000001</v>
      </c>
      <c r="AD74" s="36">
        <v>12</v>
      </c>
      <c r="AE74" s="21">
        <f t="shared" si="14"/>
        <v>25.14</v>
      </c>
      <c r="AF74">
        <f t="shared" si="15"/>
        <v>19760.130504000001</v>
      </c>
      <c r="AG74" s="21"/>
      <c r="AI74" s="39">
        <v>14</v>
      </c>
      <c r="AJ74" s="21">
        <f t="shared" si="16"/>
        <v>1509.36</v>
      </c>
      <c r="AK74" s="36">
        <v>12</v>
      </c>
      <c r="AL74" s="21">
        <f t="shared" si="17"/>
        <v>2</v>
      </c>
      <c r="AM74">
        <f t="shared" si="18"/>
        <v>3018.72</v>
      </c>
      <c r="AP74" s="39">
        <v>24</v>
      </c>
      <c r="AQ74" s="21">
        <f t="shared" si="19"/>
        <v>1196.76</v>
      </c>
      <c r="AR74" s="36">
        <v>12</v>
      </c>
      <c r="AS74" s="21">
        <f t="shared" si="20"/>
        <v>12</v>
      </c>
      <c r="AT74">
        <f t="shared" si="21"/>
        <v>14361.119999999999</v>
      </c>
      <c r="AW74" s="39">
        <v>28.892034258788225</v>
      </c>
      <c r="AX74" s="21">
        <f t="shared" si="22"/>
        <v>1043.8350090702802</v>
      </c>
      <c r="AY74" s="36">
        <v>12</v>
      </c>
      <c r="AZ74" s="21">
        <f t="shared" si="23"/>
        <v>16.892034258788225</v>
      </c>
      <c r="BA74">
        <f t="shared" si="24"/>
        <v>17632.496733737691</v>
      </c>
      <c r="BB74" s="21">
        <f t="shared" si="25"/>
        <v>34855.774383397315</v>
      </c>
    </row>
    <row r="75" spans="1:54" x14ac:dyDescent="0.55000000000000004">
      <c r="A75" s="1" t="s">
        <v>11</v>
      </c>
      <c r="B75" s="1" t="s">
        <v>65</v>
      </c>
      <c r="C75" s="1" t="s">
        <v>2</v>
      </c>
      <c r="D75" s="2">
        <v>50</v>
      </c>
      <c r="E75" s="1">
        <v>472</v>
      </c>
      <c r="S75" s="33" t="s">
        <v>104</v>
      </c>
      <c r="AB75" s="39">
        <v>37.14</v>
      </c>
      <c r="AC75" s="21">
        <f t="shared" si="13"/>
        <v>786.00360000000001</v>
      </c>
      <c r="AD75" s="36">
        <v>12</v>
      </c>
      <c r="AE75" s="21">
        <f t="shared" si="14"/>
        <v>25.14</v>
      </c>
      <c r="AF75">
        <f t="shared" si="15"/>
        <v>19760.130504000001</v>
      </c>
      <c r="AG75" s="21"/>
      <c r="AI75" s="39">
        <v>14</v>
      </c>
      <c r="AJ75" s="21">
        <f t="shared" si="16"/>
        <v>1509.36</v>
      </c>
      <c r="AK75" s="36">
        <v>12</v>
      </c>
      <c r="AL75" s="21">
        <f t="shared" si="17"/>
        <v>2</v>
      </c>
      <c r="AM75">
        <f t="shared" si="18"/>
        <v>3018.72</v>
      </c>
      <c r="AP75" s="39">
        <v>24</v>
      </c>
      <c r="AQ75" s="21">
        <f t="shared" si="19"/>
        <v>1196.76</v>
      </c>
      <c r="AR75" s="36">
        <v>12</v>
      </c>
      <c r="AS75" s="21">
        <f t="shared" si="20"/>
        <v>12</v>
      </c>
      <c r="AT75">
        <f t="shared" si="21"/>
        <v>14361.119999999999</v>
      </c>
      <c r="AW75" s="39">
        <v>28.892034258788225</v>
      </c>
      <c r="AX75" s="21">
        <f t="shared" si="22"/>
        <v>1043.8350090702802</v>
      </c>
      <c r="AY75" s="36">
        <v>12</v>
      </c>
      <c r="AZ75" s="21">
        <f t="shared" si="23"/>
        <v>16.892034258788225</v>
      </c>
      <c r="BA75">
        <f t="shared" si="24"/>
        <v>17632.496733737691</v>
      </c>
      <c r="BB75" s="21">
        <f t="shared" si="25"/>
        <v>34855.774383397315</v>
      </c>
    </row>
    <row r="76" spans="1:54" x14ac:dyDescent="0.55000000000000004">
      <c r="A76" s="1" t="s">
        <v>11</v>
      </c>
      <c r="B76" s="1" t="s">
        <v>65</v>
      </c>
      <c r="C76" s="1" t="s">
        <v>3</v>
      </c>
      <c r="D76" s="2">
        <v>50</v>
      </c>
      <c r="E76" s="1">
        <v>283</v>
      </c>
      <c r="AB76" s="39">
        <v>37.14</v>
      </c>
      <c r="AC76" s="21">
        <f t="shared" si="13"/>
        <v>786.00360000000001</v>
      </c>
      <c r="AD76" s="36">
        <v>12</v>
      </c>
      <c r="AE76" s="21">
        <f t="shared" si="14"/>
        <v>25.14</v>
      </c>
      <c r="AF76">
        <f t="shared" si="15"/>
        <v>19760.130504000001</v>
      </c>
      <c r="AG76" s="21"/>
      <c r="AI76" s="39">
        <v>14</v>
      </c>
      <c r="AJ76" s="21">
        <f t="shared" si="16"/>
        <v>1509.36</v>
      </c>
      <c r="AK76" s="36">
        <v>12</v>
      </c>
      <c r="AL76" s="21">
        <f t="shared" si="17"/>
        <v>2</v>
      </c>
      <c r="AM76">
        <f t="shared" si="18"/>
        <v>3018.72</v>
      </c>
      <c r="AP76" s="39">
        <v>24</v>
      </c>
      <c r="AQ76" s="21">
        <f t="shared" si="19"/>
        <v>1196.76</v>
      </c>
      <c r="AR76" s="36">
        <v>12</v>
      </c>
      <c r="AS76" s="21">
        <f t="shared" si="20"/>
        <v>12</v>
      </c>
      <c r="AT76">
        <f t="shared" si="21"/>
        <v>14361.119999999999</v>
      </c>
      <c r="AW76" s="39">
        <v>28.892034258788225</v>
      </c>
      <c r="AX76" s="21">
        <f t="shared" si="22"/>
        <v>1043.8350090702802</v>
      </c>
      <c r="AY76" s="36">
        <v>12</v>
      </c>
      <c r="AZ76" s="21">
        <f t="shared" si="23"/>
        <v>16.892034258788225</v>
      </c>
      <c r="BA76">
        <f t="shared" si="24"/>
        <v>17632.496733737691</v>
      </c>
      <c r="BB76" s="21">
        <f t="shared" si="25"/>
        <v>34855.774383397315</v>
      </c>
    </row>
    <row r="77" spans="1:54" ht="15.6" x14ac:dyDescent="0.55000000000000004">
      <c r="A77" s="1" t="s">
        <v>11</v>
      </c>
      <c r="B77" s="1" t="s">
        <v>65</v>
      </c>
      <c r="C77" s="1" t="s">
        <v>4</v>
      </c>
      <c r="D77" s="2">
        <v>50</v>
      </c>
      <c r="E77" s="1">
        <v>402</v>
      </c>
      <c r="S77" s="35" t="s">
        <v>105</v>
      </c>
      <c r="AB77" s="39">
        <v>37.14</v>
      </c>
      <c r="AC77" s="21">
        <f t="shared" si="13"/>
        <v>786.00360000000001</v>
      </c>
      <c r="AD77" s="36">
        <v>12</v>
      </c>
      <c r="AE77" s="21">
        <f t="shared" si="14"/>
        <v>25.14</v>
      </c>
      <c r="AF77">
        <f t="shared" si="15"/>
        <v>19760.130504000001</v>
      </c>
      <c r="AG77" s="21"/>
      <c r="AI77" s="39">
        <v>14</v>
      </c>
      <c r="AJ77" s="21">
        <f t="shared" si="16"/>
        <v>1509.36</v>
      </c>
      <c r="AK77" s="36">
        <v>12</v>
      </c>
      <c r="AL77" s="21">
        <f t="shared" si="17"/>
        <v>2</v>
      </c>
      <c r="AM77">
        <f t="shared" si="18"/>
        <v>3018.72</v>
      </c>
      <c r="AP77" s="39">
        <v>24</v>
      </c>
      <c r="AQ77" s="21">
        <f t="shared" si="19"/>
        <v>1196.76</v>
      </c>
      <c r="AR77" s="36">
        <v>12</v>
      </c>
      <c r="AS77" s="21">
        <f t="shared" si="20"/>
        <v>12</v>
      </c>
      <c r="AT77">
        <f t="shared" si="21"/>
        <v>14361.119999999999</v>
      </c>
      <c r="AW77" s="39">
        <v>28.892034258788225</v>
      </c>
      <c r="AX77" s="21">
        <f t="shared" si="22"/>
        <v>1043.8350090702802</v>
      </c>
      <c r="AY77" s="36">
        <v>12</v>
      </c>
      <c r="AZ77" s="21">
        <f t="shared" si="23"/>
        <v>16.892034258788225</v>
      </c>
      <c r="BA77">
        <f t="shared" si="24"/>
        <v>17632.496733737691</v>
      </c>
      <c r="BB77" s="21">
        <f t="shared" si="25"/>
        <v>34855.774383397315</v>
      </c>
    </row>
    <row r="78" spans="1:54" x14ac:dyDescent="0.55000000000000004">
      <c r="A78" s="1" t="s">
        <v>11</v>
      </c>
      <c r="B78" s="1" t="s">
        <v>65</v>
      </c>
      <c r="C78" s="1" t="s">
        <v>5</v>
      </c>
      <c r="D78" s="2">
        <v>50</v>
      </c>
      <c r="E78" s="1">
        <v>303</v>
      </c>
      <c r="S78" s="33"/>
      <c r="AB78" s="39">
        <v>37.14</v>
      </c>
      <c r="AC78" s="21">
        <f t="shared" si="13"/>
        <v>786.00360000000001</v>
      </c>
      <c r="AD78" s="36">
        <v>12</v>
      </c>
      <c r="AE78" s="21">
        <f t="shared" si="14"/>
        <v>25.14</v>
      </c>
      <c r="AF78">
        <f t="shared" si="15"/>
        <v>19760.130504000001</v>
      </c>
      <c r="AG78" s="21"/>
      <c r="AI78" s="39">
        <v>14</v>
      </c>
      <c r="AJ78" s="21">
        <f t="shared" si="16"/>
        <v>1509.36</v>
      </c>
      <c r="AK78" s="36">
        <v>12</v>
      </c>
      <c r="AL78" s="21">
        <f t="shared" si="17"/>
        <v>2</v>
      </c>
      <c r="AM78">
        <f t="shared" si="18"/>
        <v>3018.72</v>
      </c>
      <c r="AP78" s="39">
        <v>24</v>
      </c>
      <c r="AQ78" s="21">
        <f t="shared" si="19"/>
        <v>1196.76</v>
      </c>
      <c r="AR78" s="36">
        <v>12</v>
      </c>
      <c r="AS78" s="21">
        <f t="shared" si="20"/>
        <v>12</v>
      </c>
      <c r="AT78">
        <f t="shared" si="21"/>
        <v>14361.119999999999</v>
      </c>
      <c r="AW78" s="39">
        <v>28.892034258788225</v>
      </c>
      <c r="AX78" s="21">
        <f t="shared" si="22"/>
        <v>1043.8350090702802</v>
      </c>
      <c r="AY78" s="36">
        <v>12</v>
      </c>
      <c r="AZ78" s="21">
        <f t="shared" si="23"/>
        <v>16.892034258788225</v>
      </c>
      <c r="BA78">
        <f t="shared" si="24"/>
        <v>17632.496733737691</v>
      </c>
      <c r="BB78" s="21">
        <f t="shared" si="25"/>
        <v>34855.774383397315</v>
      </c>
    </row>
    <row r="79" spans="1:54" x14ac:dyDescent="0.55000000000000004">
      <c r="A79" s="1" t="s">
        <v>11</v>
      </c>
      <c r="B79" s="1" t="s">
        <v>65</v>
      </c>
      <c r="C79" s="1" t="s">
        <v>6</v>
      </c>
      <c r="D79" s="2">
        <v>50</v>
      </c>
      <c r="E79" s="1">
        <v>463</v>
      </c>
      <c r="S79" s="33" t="s">
        <v>106</v>
      </c>
      <c r="AB79" s="39">
        <v>37.14</v>
      </c>
      <c r="AC79" s="21">
        <f t="shared" si="13"/>
        <v>786.00360000000001</v>
      </c>
      <c r="AD79" s="36">
        <v>12</v>
      </c>
      <c r="AE79" s="21">
        <f t="shared" si="14"/>
        <v>25.14</v>
      </c>
      <c r="AF79">
        <f t="shared" si="15"/>
        <v>19760.130504000001</v>
      </c>
      <c r="AG79" s="21"/>
      <c r="AI79" s="39">
        <v>14</v>
      </c>
      <c r="AJ79" s="21">
        <f t="shared" si="16"/>
        <v>1509.36</v>
      </c>
      <c r="AK79" s="36">
        <v>12</v>
      </c>
      <c r="AL79" s="21">
        <f t="shared" si="17"/>
        <v>2</v>
      </c>
      <c r="AM79">
        <f t="shared" si="18"/>
        <v>3018.72</v>
      </c>
      <c r="AP79" s="39">
        <v>24</v>
      </c>
      <c r="AQ79" s="21">
        <f t="shared" si="19"/>
        <v>1196.76</v>
      </c>
      <c r="AR79" s="36">
        <v>12</v>
      </c>
      <c r="AS79" s="21">
        <f t="shared" si="20"/>
        <v>12</v>
      </c>
      <c r="AT79">
        <f t="shared" si="21"/>
        <v>14361.119999999999</v>
      </c>
      <c r="AW79" s="39">
        <v>28.892034258788225</v>
      </c>
      <c r="AX79" s="21">
        <f t="shared" si="22"/>
        <v>1043.8350090702802</v>
      </c>
      <c r="AY79" s="36">
        <v>12</v>
      </c>
      <c r="AZ79" s="21">
        <f t="shared" si="23"/>
        <v>16.892034258788225</v>
      </c>
      <c r="BA79">
        <f t="shared" si="24"/>
        <v>17632.496733737691</v>
      </c>
      <c r="BB79" s="21">
        <f t="shared" si="25"/>
        <v>34855.774383397315</v>
      </c>
    </row>
    <row r="80" spans="1:54" x14ac:dyDescent="0.55000000000000004">
      <c r="A80" s="1" t="s">
        <v>12</v>
      </c>
      <c r="B80" s="1" t="s">
        <v>51</v>
      </c>
      <c r="C80" s="1" t="s">
        <v>1</v>
      </c>
      <c r="D80" s="2">
        <v>40</v>
      </c>
      <c r="E80" s="1">
        <v>743</v>
      </c>
      <c r="S80" s="33"/>
      <c r="AB80" s="39">
        <v>37.14</v>
      </c>
      <c r="AC80" s="21">
        <f t="shared" si="13"/>
        <v>786.00360000000001</v>
      </c>
      <c r="AD80" s="36">
        <v>12</v>
      </c>
      <c r="AE80" s="21">
        <f t="shared" si="14"/>
        <v>25.14</v>
      </c>
      <c r="AF80">
        <f t="shared" si="15"/>
        <v>19760.130504000001</v>
      </c>
      <c r="AG80" s="21"/>
      <c r="AI80" s="39">
        <v>14</v>
      </c>
      <c r="AJ80" s="21">
        <f t="shared" si="16"/>
        <v>1509.36</v>
      </c>
      <c r="AK80" s="36">
        <v>12</v>
      </c>
      <c r="AL80" s="21">
        <f t="shared" si="17"/>
        <v>2</v>
      </c>
      <c r="AM80">
        <f t="shared" si="18"/>
        <v>3018.72</v>
      </c>
      <c r="AP80" s="39">
        <v>24</v>
      </c>
      <c r="AQ80" s="21">
        <f t="shared" si="19"/>
        <v>1196.76</v>
      </c>
      <c r="AR80" s="36">
        <v>12</v>
      </c>
      <c r="AS80" s="21">
        <f t="shared" si="20"/>
        <v>12</v>
      </c>
      <c r="AT80">
        <f t="shared" si="21"/>
        <v>14361.119999999999</v>
      </c>
      <c r="AW80" s="39">
        <v>28.892034258788225</v>
      </c>
      <c r="AX80" s="21">
        <f t="shared" si="22"/>
        <v>1043.8350090702802</v>
      </c>
      <c r="AY80" s="36">
        <v>12</v>
      </c>
      <c r="AZ80" s="21">
        <f t="shared" si="23"/>
        <v>16.892034258788225</v>
      </c>
      <c r="BA80">
        <f t="shared" si="24"/>
        <v>17632.496733737691</v>
      </c>
      <c r="BB80" s="21">
        <f t="shared" si="25"/>
        <v>34855.774383397315</v>
      </c>
    </row>
    <row r="81" spans="1:54" x14ac:dyDescent="0.55000000000000004">
      <c r="A81" s="1" t="s">
        <v>12</v>
      </c>
      <c r="B81" s="1" t="s">
        <v>51</v>
      </c>
      <c r="C81" s="1" t="s">
        <v>2</v>
      </c>
      <c r="D81" s="2">
        <v>40</v>
      </c>
      <c r="E81" s="1">
        <v>668</v>
      </c>
      <c r="S81" s="33" t="s">
        <v>107</v>
      </c>
      <c r="AB81" s="39">
        <v>37.14</v>
      </c>
      <c r="AC81" s="21">
        <f t="shared" si="13"/>
        <v>786.00360000000001</v>
      </c>
      <c r="AD81" s="36">
        <v>12</v>
      </c>
      <c r="AE81" s="21">
        <f t="shared" si="14"/>
        <v>25.14</v>
      </c>
      <c r="AF81">
        <f t="shared" si="15"/>
        <v>19760.130504000001</v>
      </c>
      <c r="AG81" s="21"/>
      <c r="AI81" s="39">
        <v>14</v>
      </c>
      <c r="AJ81" s="21">
        <f t="shared" si="16"/>
        <v>1509.36</v>
      </c>
      <c r="AK81" s="36">
        <v>12</v>
      </c>
      <c r="AL81" s="21">
        <f t="shared" si="17"/>
        <v>2</v>
      </c>
      <c r="AM81">
        <f t="shared" si="18"/>
        <v>3018.72</v>
      </c>
      <c r="AP81" s="39">
        <v>24</v>
      </c>
      <c r="AQ81" s="21">
        <f t="shared" si="19"/>
        <v>1196.76</v>
      </c>
      <c r="AR81" s="36">
        <v>12</v>
      </c>
      <c r="AS81" s="21">
        <f t="shared" si="20"/>
        <v>12</v>
      </c>
      <c r="AT81">
        <f t="shared" si="21"/>
        <v>14361.119999999999</v>
      </c>
      <c r="AW81" s="39">
        <v>28.892034258788225</v>
      </c>
      <c r="AX81" s="21">
        <f t="shared" si="22"/>
        <v>1043.8350090702802</v>
      </c>
      <c r="AY81" s="36">
        <v>12</v>
      </c>
      <c r="AZ81" s="21">
        <f t="shared" si="23"/>
        <v>16.892034258788225</v>
      </c>
      <c r="BA81">
        <f t="shared" si="24"/>
        <v>17632.496733737691</v>
      </c>
      <c r="BB81" s="21">
        <f t="shared" si="25"/>
        <v>34855.774383397315</v>
      </c>
    </row>
    <row r="82" spans="1:54" x14ac:dyDescent="0.55000000000000004">
      <c r="A82" s="1" t="s">
        <v>12</v>
      </c>
      <c r="B82" s="1" t="s">
        <v>51</v>
      </c>
      <c r="C82" s="1" t="s">
        <v>3</v>
      </c>
      <c r="D82" s="2">
        <v>40</v>
      </c>
      <c r="E82" s="1">
        <v>780</v>
      </c>
      <c r="AB82" s="39">
        <v>37.14</v>
      </c>
      <c r="AC82" s="21">
        <f t="shared" si="13"/>
        <v>786.00360000000001</v>
      </c>
      <c r="AD82" s="36">
        <v>12</v>
      </c>
      <c r="AE82" s="21">
        <f t="shared" si="14"/>
        <v>25.14</v>
      </c>
      <c r="AF82">
        <f t="shared" si="15"/>
        <v>19760.130504000001</v>
      </c>
      <c r="AG82" s="21"/>
      <c r="AI82" s="39">
        <v>14</v>
      </c>
      <c r="AJ82" s="21">
        <f t="shared" si="16"/>
        <v>1509.36</v>
      </c>
      <c r="AK82" s="36">
        <v>12</v>
      </c>
      <c r="AL82" s="21">
        <f t="shared" si="17"/>
        <v>2</v>
      </c>
      <c r="AM82">
        <f t="shared" si="18"/>
        <v>3018.72</v>
      </c>
      <c r="AP82" s="39">
        <v>24</v>
      </c>
      <c r="AQ82" s="21">
        <f t="shared" si="19"/>
        <v>1196.76</v>
      </c>
      <c r="AR82" s="36">
        <v>12</v>
      </c>
      <c r="AS82" s="21">
        <f t="shared" si="20"/>
        <v>12</v>
      </c>
      <c r="AT82">
        <f t="shared" si="21"/>
        <v>14361.119999999999</v>
      </c>
      <c r="AW82" s="39">
        <v>28.892034258788225</v>
      </c>
      <c r="AX82" s="21">
        <f t="shared" si="22"/>
        <v>1043.8350090702802</v>
      </c>
      <c r="AY82" s="36">
        <v>12</v>
      </c>
      <c r="AZ82" s="21">
        <f t="shared" si="23"/>
        <v>16.892034258788225</v>
      </c>
      <c r="BA82">
        <f t="shared" si="24"/>
        <v>17632.496733737691</v>
      </c>
      <c r="BB82" s="21">
        <f t="shared" si="25"/>
        <v>34855.774383397315</v>
      </c>
    </row>
    <row r="83" spans="1:54" ht="17.399999999999999" x14ac:dyDescent="0.55000000000000004">
      <c r="A83" s="1" t="s">
        <v>12</v>
      </c>
      <c r="B83" s="1" t="s">
        <v>51</v>
      </c>
      <c r="C83" s="1" t="s">
        <v>4</v>
      </c>
      <c r="D83" s="2">
        <v>40</v>
      </c>
      <c r="E83" s="1">
        <v>758</v>
      </c>
      <c r="S83" s="32" t="s">
        <v>108</v>
      </c>
      <c r="AB83" s="39">
        <v>37.14</v>
      </c>
      <c r="AC83" s="21">
        <f t="shared" si="13"/>
        <v>786.00360000000001</v>
      </c>
      <c r="AD83" s="36">
        <v>12</v>
      </c>
      <c r="AE83" s="21">
        <f t="shared" si="14"/>
        <v>25.14</v>
      </c>
      <c r="AF83">
        <f t="shared" si="15"/>
        <v>19760.130504000001</v>
      </c>
      <c r="AG83" s="21"/>
      <c r="AI83" s="39">
        <v>14</v>
      </c>
      <c r="AJ83" s="21">
        <f t="shared" si="16"/>
        <v>1509.36</v>
      </c>
      <c r="AK83" s="36">
        <v>12</v>
      </c>
      <c r="AL83" s="21">
        <f t="shared" si="17"/>
        <v>2</v>
      </c>
      <c r="AM83">
        <f t="shared" si="18"/>
        <v>3018.72</v>
      </c>
      <c r="AP83" s="39">
        <v>24</v>
      </c>
      <c r="AQ83" s="21">
        <f t="shared" si="19"/>
        <v>1196.76</v>
      </c>
      <c r="AR83" s="36">
        <v>12</v>
      </c>
      <c r="AS83" s="21">
        <f t="shared" si="20"/>
        <v>12</v>
      </c>
      <c r="AT83">
        <f t="shared" si="21"/>
        <v>14361.119999999999</v>
      </c>
      <c r="AW83" s="39">
        <v>28.892034258788225</v>
      </c>
      <c r="AX83" s="21">
        <f t="shared" si="22"/>
        <v>1043.8350090702802</v>
      </c>
      <c r="AY83" s="36">
        <v>12</v>
      </c>
      <c r="AZ83" s="21">
        <f t="shared" si="23"/>
        <v>16.892034258788225</v>
      </c>
      <c r="BA83">
        <f t="shared" si="24"/>
        <v>17632.496733737691</v>
      </c>
      <c r="BB83" s="21">
        <f t="shared" si="25"/>
        <v>34855.774383397315</v>
      </c>
    </row>
    <row r="84" spans="1:54" x14ac:dyDescent="0.55000000000000004">
      <c r="A84" s="1" t="s">
        <v>12</v>
      </c>
      <c r="B84" s="1" t="s">
        <v>51</v>
      </c>
      <c r="C84" s="1" t="s">
        <v>5</v>
      </c>
      <c r="D84" s="2">
        <v>40</v>
      </c>
      <c r="E84" s="1">
        <v>799</v>
      </c>
      <c r="AB84" s="39">
        <v>37.14</v>
      </c>
      <c r="AC84" s="21">
        <f t="shared" si="13"/>
        <v>786.00360000000001</v>
      </c>
      <c r="AD84" s="36">
        <v>12</v>
      </c>
      <c r="AE84" s="21">
        <f t="shared" si="14"/>
        <v>25.14</v>
      </c>
      <c r="AF84">
        <f t="shared" si="15"/>
        <v>19760.130504000001</v>
      </c>
      <c r="AG84" s="21"/>
      <c r="AI84" s="39">
        <v>14</v>
      </c>
      <c r="AJ84" s="21">
        <f t="shared" si="16"/>
        <v>1509.36</v>
      </c>
      <c r="AK84" s="36">
        <v>12</v>
      </c>
      <c r="AL84" s="21">
        <f t="shared" si="17"/>
        <v>2</v>
      </c>
      <c r="AM84">
        <f t="shared" si="18"/>
        <v>3018.72</v>
      </c>
      <c r="AP84" s="39">
        <v>24</v>
      </c>
      <c r="AQ84" s="21">
        <f t="shared" si="19"/>
        <v>1196.76</v>
      </c>
      <c r="AR84" s="36">
        <v>12</v>
      </c>
      <c r="AS84" s="21">
        <f t="shared" si="20"/>
        <v>12</v>
      </c>
      <c r="AT84">
        <f t="shared" si="21"/>
        <v>14361.119999999999</v>
      </c>
      <c r="AW84" s="39">
        <v>28.892034258788225</v>
      </c>
      <c r="AX84" s="21">
        <f t="shared" si="22"/>
        <v>1043.8350090702802</v>
      </c>
      <c r="AY84" s="36">
        <v>12</v>
      </c>
      <c r="AZ84" s="21">
        <f t="shared" si="23"/>
        <v>16.892034258788225</v>
      </c>
      <c r="BA84">
        <f t="shared" si="24"/>
        <v>17632.496733737691</v>
      </c>
      <c r="BB84" s="21">
        <f t="shared" si="25"/>
        <v>34855.774383397315</v>
      </c>
    </row>
    <row r="85" spans="1:54" x14ac:dyDescent="0.55000000000000004">
      <c r="A85" s="1" t="s">
        <v>12</v>
      </c>
      <c r="B85" s="1" t="s">
        <v>51</v>
      </c>
      <c r="C85" s="1" t="s">
        <v>6</v>
      </c>
      <c r="D85" s="2">
        <v>40</v>
      </c>
      <c r="E85" s="1">
        <v>770</v>
      </c>
      <c r="S85" t="s">
        <v>109</v>
      </c>
      <c r="AB85" s="39">
        <v>37.14</v>
      </c>
      <c r="AC85" s="21">
        <f t="shared" si="13"/>
        <v>786.00360000000001</v>
      </c>
      <c r="AD85" s="36">
        <v>12</v>
      </c>
      <c r="AE85" s="21">
        <f t="shared" si="14"/>
        <v>25.14</v>
      </c>
      <c r="AF85">
        <f t="shared" si="15"/>
        <v>19760.130504000001</v>
      </c>
      <c r="AG85" s="21"/>
      <c r="AI85" s="39">
        <v>14</v>
      </c>
      <c r="AJ85" s="21">
        <f t="shared" si="16"/>
        <v>1509.36</v>
      </c>
      <c r="AK85" s="36">
        <v>12</v>
      </c>
      <c r="AL85" s="21">
        <f t="shared" si="17"/>
        <v>2</v>
      </c>
      <c r="AM85">
        <f t="shared" si="18"/>
        <v>3018.72</v>
      </c>
      <c r="AP85" s="39">
        <v>24</v>
      </c>
      <c r="AQ85" s="21">
        <f t="shared" si="19"/>
        <v>1196.76</v>
      </c>
      <c r="AR85" s="36">
        <v>12</v>
      </c>
      <c r="AS85" s="21">
        <f t="shared" si="20"/>
        <v>12</v>
      </c>
      <c r="AT85">
        <f t="shared" si="21"/>
        <v>14361.119999999999</v>
      </c>
      <c r="AW85" s="39">
        <v>28.892034258788225</v>
      </c>
      <c r="AX85" s="21">
        <f t="shared" si="22"/>
        <v>1043.8350090702802</v>
      </c>
      <c r="AY85" s="36">
        <v>12</v>
      </c>
      <c r="AZ85" s="21">
        <f t="shared" si="23"/>
        <v>16.892034258788225</v>
      </c>
      <c r="BA85">
        <f t="shared" si="24"/>
        <v>17632.496733737691</v>
      </c>
      <c r="BB85" s="21">
        <f t="shared" si="25"/>
        <v>34855.774383397315</v>
      </c>
    </row>
    <row r="86" spans="1:54" x14ac:dyDescent="0.55000000000000004">
      <c r="A86" s="1" t="s">
        <v>12</v>
      </c>
      <c r="B86" s="1" t="s">
        <v>57</v>
      </c>
      <c r="C86" s="1" t="s">
        <v>1</v>
      </c>
      <c r="D86" s="2">
        <v>40</v>
      </c>
      <c r="E86" s="1">
        <v>799</v>
      </c>
      <c r="S86" s="33"/>
      <c r="AB86" s="39">
        <v>37.14</v>
      </c>
      <c r="AC86" s="21">
        <f t="shared" si="13"/>
        <v>786.00360000000001</v>
      </c>
      <c r="AD86" s="36">
        <v>12</v>
      </c>
      <c r="AE86" s="21">
        <f t="shared" si="14"/>
        <v>25.14</v>
      </c>
      <c r="AF86">
        <f t="shared" si="15"/>
        <v>19760.130504000001</v>
      </c>
      <c r="AG86" s="21"/>
      <c r="AI86" s="39">
        <v>14</v>
      </c>
      <c r="AJ86" s="21">
        <f t="shared" si="16"/>
        <v>1509.36</v>
      </c>
      <c r="AK86" s="36">
        <v>12</v>
      </c>
      <c r="AL86" s="21">
        <f t="shared" si="17"/>
        <v>2</v>
      </c>
      <c r="AM86">
        <f t="shared" si="18"/>
        <v>3018.72</v>
      </c>
      <c r="AP86" s="39">
        <v>24</v>
      </c>
      <c r="AQ86" s="21">
        <f t="shared" si="19"/>
        <v>1196.76</v>
      </c>
      <c r="AR86" s="36">
        <v>12</v>
      </c>
      <c r="AS86" s="21">
        <f t="shared" si="20"/>
        <v>12</v>
      </c>
      <c r="AT86">
        <f t="shared" si="21"/>
        <v>14361.119999999999</v>
      </c>
      <c r="AW86" s="39">
        <v>28.892034258788225</v>
      </c>
      <c r="AX86" s="21">
        <f t="shared" si="22"/>
        <v>1043.8350090702802</v>
      </c>
      <c r="AY86" s="36">
        <v>12</v>
      </c>
      <c r="AZ86" s="21">
        <f t="shared" si="23"/>
        <v>16.892034258788225</v>
      </c>
      <c r="BA86">
        <f t="shared" si="24"/>
        <v>17632.496733737691</v>
      </c>
      <c r="BB86" s="21">
        <f t="shared" si="25"/>
        <v>34855.774383397315</v>
      </c>
    </row>
    <row r="87" spans="1:54" x14ac:dyDescent="0.55000000000000004">
      <c r="A87" s="1" t="s">
        <v>12</v>
      </c>
      <c r="B87" s="1" t="s">
        <v>57</v>
      </c>
      <c r="C87" s="1" t="s">
        <v>2</v>
      </c>
      <c r="D87" s="2">
        <v>40</v>
      </c>
      <c r="E87" s="1">
        <v>662</v>
      </c>
      <c r="S87" s="34" t="s">
        <v>110</v>
      </c>
      <c r="AB87" s="39">
        <v>37.14</v>
      </c>
      <c r="AC87" s="21">
        <f t="shared" si="13"/>
        <v>786.00360000000001</v>
      </c>
      <c r="AD87" s="36">
        <v>12</v>
      </c>
      <c r="AE87" s="21">
        <f t="shared" si="14"/>
        <v>25.14</v>
      </c>
      <c r="AF87">
        <f t="shared" si="15"/>
        <v>19760.130504000001</v>
      </c>
      <c r="AG87" s="21"/>
      <c r="AI87" s="39">
        <v>14</v>
      </c>
      <c r="AJ87" s="21">
        <f t="shared" si="16"/>
        <v>1509.36</v>
      </c>
      <c r="AK87" s="36">
        <v>12</v>
      </c>
      <c r="AL87" s="21">
        <f t="shared" si="17"/>
        <v>2</v>
      </c>
      <c r="AM87">
        <f t="shared" si="18"/>
        <v>3018.72</v>
      </c>
      <c r="AP87" s="39">
        <v>24</v>
      </c>
      <c r="AQ87" s="21">
        <f t="shared" si="19"/>
        <v>1196.76</v>
      </c>
      <c r="AR87" s="36">
        <v>12</v>
      </c>
      <c r="AS87" s="21">
        <f t="shared" si="20"/>
        <v>12</v>
      </c>
      <c r="AT87">
        <f t="shared" si="21"/>
        <v>14361.119999999999</v>
      </c>
      <c r="AW87" s="39">
        <v>28.892034258788225</v>
      </c>
      <c r="AX87" s="21">
        <f t="shared" si="22"/>
        <v>1043.8350090702802</v>
      </c>
      <c r="AY87" s="36">
        <v>12</v>
      </c>
      <c r="AZ87" s="21">
        <f t="shared" si="23"/>
        <v>16.892034258788225</v>
      </c>
      <c r="BA87">
        <f t="shared" si="24"/>
        <v>17632.496733737691</v>
      </c>
      <c r="BB87" s="21">
        <f t="shared" si="25"/>
        <v>34855.774383397315</v>
      </c>
    </row>
    <row r="88" spans="1:54" x14ac:dyDescent="0.55000000000000004">
      <c r="A88" s="1" t="s">
        <v>12</v>
      </c>
      <c r="B88" s="1" t="s">
        <v>57</v>
      </c>
      <c r="C88" s="1" t="s">
        <v>3</v>
      </c>
      <c r="D88" s="2">
        <v>40</v>
      </c>
      <c r="E88" s="1">
        <v>653</v>
      </c>
      <c r="S88" s="33"/>
      <c r="AB88" s="39">
        <v>37.14</v>
      </c>
      <c r="AC88" s="21">
        <f t="shared" si="13"/>
        <v>786.00360000000001</v>
      </c>
      <c r="AD88" s="36">
        <v>12</v>
      </c>
      <c r="AE88" s="21">
        <f t="shared" si="14"/>
        <v>25.14</v>
      </c>
      <c r="AF88">
        <f t="shared" si="15"/>
        <v>19760.130504000001</v>
      </c>
      <c r="AG88" s="21"/>
      <c r="AI88" s="39">
        <v>14</v>
      </c>
      <c r="AJ88" s="21">
        <f t="shared" si="16"/>
        <v>1509.36</v>
      </c>
      <c r="AK88" s="36">
        <v>12</v>
      </c>
      <c r="AL88" s="21">
        <f t="shared" si="17"/>
        <v>2</v>
      </c>
      <c r="AM88">
        <f t="shared" si="18"/>
        <v>3018.72</v>
      </c>
      <c r="AP88" s="39">
        <v>24</v>
      </c>
      <c r="AQ88" s="21">
        <f t="shared" si="19"/>
        <v>1196.76</v>
      </c>
      <c r="AR88" s="36">
        <v>12</v>
      </c>
      <c r="AS88" s="21">
        <f t="shared" si="20"/>
        <v>12</v>
      </c>
      <c r="AT88">
        <f t="shared" si="21"/>
        <v>14361.119999999999</v>
      </c>
      <c r="AW88" s="39">
        <v>28.892034258788225</v>
      </c>
      <c r="AX88" s="21">
        <f t="shared" si="22"/>
        <v>1043.8350090702802</v>
      </c>
      <c r="AY88" s="36">
        <v>12</v>
      </c>
      <c r="AZ88" s="21">
        <f t="shared" si="23"/>
        <v>16.892034258788225</v>
      </c>
      <c r="BA88">
        <f t="shared" si="24"/>
        <v>17632.496733737691</v>
      </c>
      <c r="BB88" s="21">
        <f t="shared" si="25"/>
        <v>34855.774383397315</v>
      </c>
    </row>
    <row r="89" spans="1:54" x14ac:dyDescent="0.55000000000000004">
      <c r="A89" s="1" t="s">
        <v>12</v>
      </c>
      <c r="B89" s="1" t="s">
        <v>57</v>
      </c>
      <c r="C89" s="1" t="s">
        <v>4</v>
      </c>
      <c r="D89" s="2">
        <v>40</v>
      </c>
      <c r="E89" s="1">
        <v>736</v>
      </c>
      <c r="S89" s="33" t="s">
        <v>111</v>
      </c>
      <c r="AB89" s="39">
        <v>37.14</v>
      </c>
      <c r="AC89" s="21">
        <f t="shared" si="13"/>
        <v>786.00360000000001</v>
      </c>
      <c r="AD89" s="36">
        <v>12</v>
      </c>
      <c r="AE89" s="21">
        <f t="shared" si="14"/>
        <v>25.14</v>
      </c>
      <c r="AF89">
        <f t="shared" si="15"/>
        <v>19760.130504000001</v>
      </c>
      <c r="AG89" s="21"/>
      <c r="AI89" s="39">
        <v>14</v>
      </c>
      <c r="AJ89" s="21">
        <f t="shared" si="16"/>
        <v>1509.36</v>
      </c>
      <c r="AK89" s="36">
        <v>12</v>
      </c>
      <c r="AL89" s="21">
        <f t="shared" si="17"/>
        <v>2</v>
      </c>
      <c r="AM89">
        <f t="shared" si="18"/>
        <v>3018.72</v>
      </c>
      <c r="AP89" s="39">
        <v>24</v>
      </c>
      <c r="AQ89" s="21">
        <f t="shared" si="19"/>
        <v>1196.76</v>
      </c>
      <c r="AR89" s="36">
        <v>12</v>
      </c>
      <c r="AS89" s="21">
        <f t="shared" si="20"/>
        <v>12</v>
      </c>
      <c r="AT89">
        <f t="shared" si="21"/>
        <v>14361.119999999999</v>
      </c>
      <c r="AW89" s="39">
        <v>28.892034258788225</v>
      </c>
      <c r="AX89" s="21">
        <f t="shared" si="22"/>
        <v>1043.8350090702802</v>
      </c>
      <c r="AY89" s="36">
        <v>12</v>
      </c>
      <c r="AZ89" s="21">
        <f t="shared" si="23"/>
        <v>16.892034258788225</v>
      </c>
      <c r="BA89">
        <f t="shared" si="24"/>
        <v>17632.496733737691</v>
      </c>
      <c r="BB89" s="21">
        <f t="shared" si="25"/>
        <v>34855.774383397315</v>
      </c>
    </row>
    <row r="90" spans="1:54" x14ac:dyDescent="0.55000000000000004">
      <c r="A90" s="1" t="s">
        <v>12</v>
      </c>
      <c r="B90" s="1" t="s">
        <v>57</v>
      </c>
      <c r="C90" s="1" t="s">
        <v>5</v>
      </c>
      <c r="D90" s="2">
        <v>40</v>
      </c>
      <c r="E90" s="1">
        <v>678</v>
      </c>
      <c r="AB90" s="39">
        <v>37.14</v>
      </c>
      <c r="AC90" s="21">
        <f t="shared" si="13"/>
        <v>786.00360000000001</v>
      </c>
      <c r="AD90" s="36">
        <v>12</v>
      </c>
      <c r="AE90" s="21">
        <f t="shared" si="14"/>
        <v>25.14</v>
      </c>
      <c r="AF90">
        <f t="shared" si="15"/>
        <v>19760.130504000001</v>
      </c>
      <c r="AG90" s="21"/>
      <c r="AI90" s="39">
        <v>14</v>
      </c>
      <c r="AJ90" s="21">
        <f t="shared" si="16"/>
        <v>1509.36</v>
      </c>
      <c r="AK90" s="36">
        <v>12</v>
      </c>
      <c r="AL90" s="21">
        <f t="shared" si="17"/>
        <v>2</v>
      </c>
      <c r="AM90">
        <f t="shared" si="18"/>
        <v>3018.72</v>
      </c>
      <c r="AP90" s="39">
        <v>24</v>
      </c>
      <c r="AQ90" s="21">
        <f t="shared" si="19"/>
        <v>1196.76</v>
      </c>
      <c r="AR90" s="36">
        <v>12</v>
      </c>
      <c r="AS90" s="21">
        <f t="shared" si="20"/>
        <v>12</v>
      </c>
      <c r="AT90">
        <f t="shared" si="21"/>
        <v>14361.119999999999</v>
      </c>
      <c r="AW90" s="39">
        <v>28.892034258788225</v>
      </c>
      <c r="AX90" s="21">
        <f t="shared" si="22"/>
        <v>1043.8350090702802</v>
      </c>
      <c r="AY90" s="36">
        <v>12</v>
      </c>
      <c r="AZ90" s="21">
        <f t="shared" si="23"/>
        <v>16.892034258788225</v>
      </c>
      <c r="BA90">
        <f t="shared" si="24"/>
        <v>17632.496733737691</v>
      </c>
      <c r="BB90" s="21">
        <f t="shared" si="25"/>
        <v>34855.774383397315</v>
      </c>
    </row>
    <row r="91" spans="1:54" x14ac:dyDescent="0.55000000000000004">
      <c r="A91" s="1" t="s">
        <v>12</v>
      </c>
      <c r="B91" s="1" t="s">
        <v>57</v>
      </c>
      <c r="C91" s="1" t="s">
        <v>6</v>
      </c>
      <c r="D91" s="2">
        <v>40</v>
      </c>
      <c r="E91" s="1">
        <v>690</v>
      </c>
      <c r="AB91" s="39">
        <v>37.14</v>
      </c>
      <c r="AC91" s="21">
        <f t="shared" si="13"/>
        <v>786.00360000000001</v>
      </c>
      <c r="AD91" s="36">
        <v>12</v>
      </c>
      <c r="AE91" s="21">
        <f t="shared" si="14"/>
        <v>25.14</v>
      </c>
      <c r="AF91">
        <f t="shared" si="15"/>
        <v>19760.130504000001</v>
      </c>
      <c r="AG91" s="21"/>
      <c r="AI91" s="39">
        <v>14</v>
      </c>
      <c r="AJ91" s="21">
        <f t="shared" si="16"/>
        <v>1509.36</v>
      </c>
      <c r="AK91" s="36">
        <v>12</v>
      </c>
      <c r="AL91" s="21">
        <f t="shared" si="17"/>
        <v>2</v>
      </c>
      <c r="AM91">
        <f t="shared" si="18"/>
        <v>3018.72</v>
      </c>
      <c r="AP91" s="39">
        <v>24</v>
      </c>
      <c r="AQ91" s="21">
        <f t="shared" si="19"/>
        <v>1196.76</v>
      </c>
      <c r="AR91" s="36">
        <v>12</v>
      </c>
      <c r="AS91" s="21">
        <f t="shared" si="20"/>
        <v>12</v>
      </c>
      <c r="AT91">
        <f t="shared" si="21"/>
        <v>14361.119999999999</v>
      </c>
      <c r="AW91" s="39">
        <v>28.892034258788225</v>
      </c>
      <c r="AX91" s="21">
        <f t="shared" si="22"/>
        <v>1043.8350090702802</v>
      </c>
      <c r="AY91" s="36">
        <v>12</v>
      </c>
      <c r="AZ91" s="21">
        <f t="shared" si="23"/>
        <v>16.892034258788225</v>
      </c>
      <c r="BA91">
        <f t="shared" si="24"/>
        <v>17632.496733737691</v>
      </c>
      <c r="BB91" s="21">
        <f t="shared" si="25"/>
        <v>34855.774383397315</v>
      </c>
    </row>
    <row r="92" spans="1:54" x14ac:dyDescent="0.55000000000000004">
      <c r="A92" s="1" t="s">
        <v>12</v>
      </c>
      <c r="B92" s="1" t="s">
        <v>61</v>
      </c>
      <c r="C92" s="1" t="s">
        <v>1</v>
      </c>
      <c r="D92" s="2">
        <v>40</v>
      </c>
      <c r="E92" s="1">
        <v>781</v>
      </c>
      <c r="R92" t="s">
        <v>120</v>
      </c>
      <c r="S92" t="s">
        <v>122</v>
      </c>
      <c r="AB92" s="39">
        <v>37.14</v>
      </c>
      <c r="AC92" s="21">
        <f t="shared" si="13"/>
        <v>786.00360000000001</v>
      </c>
      <c r="AD92" s="36">
        <v>12</v>
      </c>
      <c r="AE92" s="21">
        <f t="shared" si="14"/>
        <v>25.14</v>
      </c>
      <c r="AF92">
        <f t="shared" si="15"/>
        <v>19760.130504000001</v>
      </c>
      <c r="AG92" s="21"/>
      <c r="AI92" s="39">
        <v>14</v>
      </c>
      <c r="AJ92" s="21">
        <f t="shared" si="16"/>
        <v>1509.36</v>
      </c>
      <c r="AK92" s="36">
        <v>12</v>
      </c>
      <c r="AL92" s="21">
        <f t="shared" si="17"/>
        <v>2</v>
      </c>
      <c r="AM92">
        <f t="shared" si="18"/>
        <v>3018.72</v>
      </c>
      <c r="AP92" s="39">
        <v>24</v>
      </c>
      <c r="AQ92" s="21">
        <f t="shared" si="19"/>
        <v>1196.76</v>
      </c>
      <c r="AR92" s="36">
        <v>12</v>
      </c>
      <c r="AS92" s="21">
        <f t="shared" si="20"/>
        <v>12</v>
      </c>
      <c r="AT92">
        <f t="shared" si="21"/>
        <v>14361.119999999999</v>
      </c>
      <c r="AW92" s="39">
        <v>28.892034258788225</v>
      </c>
      <c r="AX92" s="21">
        <f t="shared" si="22"/>
        <v>1043.8350090702802</v>
      </c>
      <c r="AY92" s="36">
        <v>12</v>
      </c>
      <c r="AZ92" s="21">
        <f t="shared" si="23"/>
        <v>16.892034258788225</v>
      </c>
      <c r="BA92">
        <f t="shared" si="24"/>
        <v>17632.496733737691</v>
      </c>
      <c r="BB92" s="21">
        <f t="shared" si="25"/>
        <v>34855.774383397315</v>
      </c>
    </row>
    <row r="93" spans="1:54" x14ac:dyDescent="0.55000000000000004">
      <c r="A93" s="1" t="s">
        <v>12</v>
      </c>
      <c r="B93" s="1" t="s">
        <v>61</v>
      </c>
      <c r="C93" s="1" t="s">
        <v>2</v>
      </c>
      <c r="D93" s="2">
        <v>40</v>
      </c>
      <c r="E93" s="1">
        <v>635</v>
      </c>
      <c r="S93" t="s">
        <v>121</v>
      </c>
      <c r="AB93" s="39">
        <v>37.14</v>
      </c>
      <c r="AC93" s="21">
        <f t="shared" si="13"/>
        <v>786.00360000000001</v>
      </c>
      <c r="AD93" s="36">
        <v>12</v>
      </c>
      <c r="AE93" s="21">
        <f t="shared" si="14"/>
        <v>25.14</v>
      </c>
      <c r="AF93">
        <f t="shared" si="15"/>
        <v>19760.130504000001</v>
      </c>
      <c r="AG93" s="21"/>
      <c r="AI93" s="39">
        <v>14</v>
      </c>
      <c r="AJ93" s="21">
        <f t="shared" si="16"/>
        <v>1509.36</v>
      </c>
      <c r="AK93" s="36">
        <v>12</v>
      </c>
      <c r="AL93" s="21">
        <f t="shared" si="17"/>
        <v>2</v>
      </c>
      <c r="AM93">
        <f t="shared" si="18"/>
        <v>3018.72</v>
      </c>
      <c r="AP93" s="39">
        <v>24</v>
      </c>
      <c r="AQ93" s="21">
        <f t="shared" si="19"/>
        <v>1196.76</v>
      </c>
      <c r="AR93" s="36">
        <v>12</v>
      </c>
      <c r="AS93" s="21">
        <f t="shared" si="20"/>
        <v>12</v>
      </c>
      <c r="AT93">
        <f t="shared" si="21"/>
        <v>14361.119999999999</v>
      </c>
      <c r="AW93" s="39">
        <v>28.892034258788225</v>
      </c>
      <c r="AX93" s="21">
        <f t="shared" si="22"/>
        <v>1043.8350090702802</v>
      </c>
      <c r="AY93" s="36">
        <v>12</v>
      </c>
      <c r="AZ93" s="21">
        <f t="shared" si="23"/>
        <v>16.892034258788225</v>
      </c>
      <c r="BA93">
        <f t="shared" si="24"/>
        <v>17632.496733737691</v>
      </c>
      <c r="BB93" s="21">
        <f t="shared" si="25"/>
        <v>34855.774383397315</v>
      </c>
    </row>
    <row r="94" spans="1:54" x14ac:dyDescent="0.55000000000000004">
      <c r="A94" s="1" t="s">
        <v>12</v>
      </c>
      <c r="B94" s="1" t="s">
        <v>61</v>
      </c>
      <c r="C94" s="1" t="s">
        <v>3</v>
      </c>
      <c r="D94" s="2">
        <v>40</v>
      </c>
      <c r="E94" s="1">
        <v>752</v>
      </c>
      <c r="AB94" s="39">
        <v>37.14</v>
      </c>
      <c r="AC94" s="21">
        <f t="shared" si="13"/>
        <v>786.00360000000001</v>
      </c>
      <c r="AD94" s="36">
        <v>12</v>
      </c>
      <c r="AE94" s="21">
        <f t="shared" si="14"/>
        <v>25.14</v>
      </c>
      <c r="AF94">
        <f t="shared" si="15"/>
        <v>19760.130504000001</v>
      </c>
      <c r="AG94" s="21"/>
      <c r="AI94" s="39">
        <v>14</v>
      </c>
      <c r="AJ94" s="21">
        <f t="shared" si="16"/>
        <v>1509.36</v>
      </c>
      <c r="AK94" s="36">
        <v>12</v>
      </c>
      <c r="AL94" s="21">
        <f t="shared" si="17"/>
        <v>2</v>
      </c>
      <c r="AM94">
        <f t="shared" si="18"/>
        <v>3018.72</v>
      </c>
      <c r="AP94" s="39">
        <v>24</v>
      </c>
      <c r="AQ94" s="21">
        <f t="shared" si="19"/>
        <v>1196.76</v>
      </c>
      <c r="AR94" s="36">
        <v>12</v>
      </c>
      <c r="AS94" s="21">
        <f t="shared" si="20"/>
        <v>12</v>
      </c>
      <c r="AT94">
        <f t="shared" si="21"/>
        <v>14361.119999999999</v>
      </c>
      <c r="AW94" s="39">
        <v>28.892034258788225</v>
      </c>
      <c r="AX94" s="21">
        <f t="shared" si="22"/>
        <v>1043.8350090702802</v>
      </c>
      <c r="AY94" s="36">
        <v>12</v>
      </c>
      <c r="AZ94" s="21">
        <f t="shared" si="23"/>
        <v>16.892034258788225</v>
      </c>
      <c r="BA94">
        <f t="shared" si="24"/>
        <v>17632.496733737691</v>
      </c>
      <c r="BB94" s="21">
        <f t="shared" si="25"/>
        <v>34855.774383397315</v>
      </c>
    </row>
    <row r="95" spans="1:54" x14ac:dyDescent="0.55000000000000004">
      <c r="A95" s="1" t="s">
        <v>12</v>
      </c>
      <c r="B95" s="1" t="s">
        <v>61</v>
      </c>
      <c r="C95" s="1" t="s">
        <v>4</v>
      </c>
      <c r="D95" s="2">
        <v>40</v>
      </c>
      <c r="E95" s="1">
        <v>603</v>
      </c>
      <c r="R95" t="s">
        <v>123</v>
      </c>
      <c r="S95" t="s">
        <v>124</v>
      </c>
      <c r="AB95" s="39">
        <v>37.14</v>
      </c>
      <c r="AC95" s="21">
        <f t="shared" si="13"/>
        <v>786.00360000000001</v>
      </c>
      <c r="AD95" s="36">
        <v>12</v>
      </c>
      <c r="AE95" s="21">
        <f t="shared" si="14"/>
        <v>25.14</v>
      </c>
      <c r="AF95">
        <f t="shared" si="15"/>
        <v>19760.130504000001</v>
      </c>
      <c r="AG95" s="21"/>
      <c r="AI95" s="39">
        <v>14</v>
      </c>
      <c r="AJ95" s="21">
        <f t="shared" si="16"/>
        <v>1509.36</v>
      </c>
      <c r="AK95" s="36">
        <v>12</v>
      </c>
      <c r="AL95" s="21">
        <f t="shared" si="17"/>
        <v>2</v>
      </c>
      <c r="AM95">
        <f t="shared" si="18"/>
        <v>3018.72</v>
      </c>
      <c r="AP95" s="39">
        <v>24</v>
      </c>
      <c r="AQ95" s="21">
        <f t="shared" si="19"/>
        <v>1196.76</v>
      </c>
      <c r="AR95" s="36">
        <v>12</v>
      </c>
      <c r="AS95" s="21">
        <f t="shared" si="20"/>
        <v>12</v>
      </c>
      <c r="AT95">
        <f t="shared" si="21"/>
        <v>14361.119999999999</v>
      </c>
      <c r="AW95" s="39">
        <v>28.892034258788225</v>
      </c>
      <c r="AX95" s="21">
        <f t="shared" si="22"/>
        <v>1043.8350090702802</v>
      </c>
      <c r="AY95" s="36">
        <v>12</v>
      </c>
      <c r="AZ95" s="21">
        <f t="shared" si="23"/>
        <v>16.892034258788225</v>
      </c>
      <c r="BA95">
        <f t="shared" si="24"/>
        <v>17632.496733737691</v>
      </c>
      <c r="BB95" s="21">
        <f t="shared" si="25"/>
        <v>34855.774383397315</v>
      </c>
    </row>
    <row r="96" spans="1:54" x14ac:dyDescent="0.55000000000000004">
      <c r="A96" s="1" t="s">
        <v>12</v>
      </c>
      <c r="B96" s="1" t="s">
        <v>61</v>
      </c>
      <c r="C96" s="1" t="s">
        <v>5</v>
      </c>
      <c r="D96" s="2">
        <v>40</v>
      </c>
      <c r="E96" s="1">
        <v>795</v>
      </c>
      <c r="AB96" s="39">
        <v>37.14</v>
      </c>
      <c r="AC96" s="21">
        <f t="shared" si="13"/>
        <v>786.00360000000001</v>
      </c>
      <c r="AD96" s="36">
        <v>12</v>
      </c>
      <c r="AE96" s="21">
        <f t="shared" si="14"/>
        <v>25.14</v>
      </c>
      <c r="AF96">
        <f t="shared" si="15"/>
        <v>19760.130504000001</v>
      </c>
      <c r="AG96" s="21"/>
      <c r="AI96" s="39">
        <v>14</v>
      </c>
      <c r="AJ96" s="21">
        <f t="shared" si="16"/>
        <v>1509.36</v>
      </c>
      <c r="AK96" s="36">
        <v>12</v>
      </c>
      <c r="AL96" s="21">
        <f t="shared" si="17"/>
        <v>2</v>
      </c>
      <c r="AM96">
        <f t="shared" si="18"/>
        <v>3018.72</v>
      </c>
      <c r="AP96" s="39">
        <v>24</v>
      </c>
      <c r="AQ96" s="21">
        <f t="shared" si="19"/>
        <v>1196.76</v>
      </c>
      <c r="AR96" s="36">
        <v>12</v>
      </c>
      <c r="AS96" s="21">
        <f t="shared" si="20"/>
        <v>12</v>
      </c>
      <c r="AT96">
        <f t="shared" si="21"/>
        <v>14361.119999999999</v>
      </c>
      <c r="AW96" s="39">
        <v>28.892034258788225</v>
      </c>
      <c r="AX96" s="21">
        <f t="shared" si="22"/>
        <v>1043.8350090702802</v>
      </c>
      <c r="AY96" s="36">
        <v>12</v>
      </c>
      <c r="AZ96" s="21">
        <f t="shared" si="23"/>
        <v>16.892034258788225</v>
      </c>
      <c r="BA96">
        <f t="shared" si="24"/>
        <v>17632.496733737691</v>
      </c>
      <c r="BB96" s="21">
        <f t="shared" si="25"/>
        <v>34855.774383397315</v>
      </c>
    </row>
    <row r="97" spans="1:54" x14ac:dyDescent="0.55000000000000004">
      <c r="A97" s="1" t="s">
        <v>12</v>
      </c>
      <c r="B97" s="1" t="s">
        <v>61</v>
      </c>
      <c r="C97" s="1" t="s">
        <v>6</v>
      </c>
      <c r="D97" s="2">
        <v>40</v>
      </c>
      <c r="E97" s="1">
        <v>697</v>
      </c>
      <c r="R97" t="s">
        <v>127</v>
      </c>
      <c r="S97" t="s">
        <v>128</v>
      </c>
      <c r="V97" s="40" t="s">
        <v>163</v>
      </c>
      <c r="AB97" s="39">
        <v>37.14</v>
      </c>
      <c r="AC97" s="21">
        <f t="shared" si="13"/>
        <v>786.00360000000001</v>
      </c>
      <c r="AD97" s="36">
        <v>12</v>
      </c>
      <c r="AE97" s="21">
        <f t="shared" si="14"/>
        <v>25.14</v>
      </c>
      <c r="AF97">
        <f t="shared" si="15"/>
        <v>19760.130504000001</v>
      </c>
      <c r="AG97" s="21"/>
      <c r="AI97" s="39">
        <v>14</v>
      </c>
      <c r="AJ97" s="21">
        <f t="shared" si="16"/>
        <v>1509.36</v>
      </c>
      <c r="AK97" s="36">
        <v>12</v>
      </c>
      <c r="AL97" s="21">
        <f t="shared" si="17"/>
        <v>2</v>
      </c>
      <c r="AM97">
        <f t="shared" si="18"/>
        <v>3018.72</v>
      </c>
      <c r="AP97" s="39">
        <v>24</v>
      </c>
      <c r="AQ97" s="21">
        <f t="shared" si="19"/>
        <v>1196.76</v>
      </c>
      <c r="AR97" s="36">
        <v>12</v>
      </c>
      <c r="AS97" s="21">
        <f t="shared" si="20"/>
        <v>12</v>
      </c>
      <c r="AT97">
        <f t="shared" si="21"/>
        <v>14361.119999999999</v>
      </c>
      <c r="AW97" s="39">
        <v>28.892034258788225</v>
      </c>
      <c r="AX97" s="21">
        <f t="shared" si="22"/>
        <v>1043.8350090702802</v>
      </c>
      <c r="AY97" s="36">
        <v>12</v>
      </c>
      <c r="AZ97" s="21">
        <f t="shared" si="23"/>
        <v>16.892034258788225</v>
      </c>
      <c r="BA97">
        <f t="shared" si="24"/>
        <v>17632.496733737691</v>
      </c>
      <c r="BB97" s="21">
        <f t="shared" si="25"/>
        <v>34855.774383397315</v>
      </c>
    </row>
    <row r="98" spans="1:54" x14ac:dyDescent="0.55000000000000004">
      <c r="A98" s="1" t="s">
        <v>12</v>
      </c>
      <c r="B98" s="1" t="s">
        <v>63</v>
      </c>
      <c r="C98" s="1" t="s">
        <v>1</v>
      </c>
      <c r="D98" s="2">
        <v>40</v>
      </c>
      <c r="E98" s="1">
        <v>637</v>
      </c>
      <c r="S98" t="s">
        <v>129</v>
      </c>
      <c r="V98" s="40"/>
      <c r="AB98" s="39">
        <v>37.14</v>
      </c>
      <c r="AC98" s="21">
        <f t="shared" si="13"/>
        <v>786.00360000000001</v>
      </c>
      <c r="AD98" s="36">
        <v>12</v>
      </c>
      <c r="AE98" s="21">
        <f t="shared" si="14"/>
        <v>25.14</v>
      </c>
      <c r="AF98">
        <f t="shared" si="15"/>
        <v>19760.130504000001</v>
      </c>
      <c r="AG98" s="21"/>
      <c r="AI98" s="39">
        <v>14</v>
      </c>
      <c r="AJ98" s="21">
        <f t="shared" si="16"/>
        <v>1509.36</v>
      </c>
      <c r="AK98" s="36">
        <v>12</v>
      </c>
      <c r="AL98" s="21">
        <f t="shared" si="17"/>
        <v>2</v>
      </c>
      <c r="AM98">
        <f t="shared" si="18"/>
        <v>3018.72</v>
      </c>
      <c r="AP98" s="39">
        <v>24</v>
      </c>
      <c r="AQ98" s="21">
        <f t="shared" si="19"/>
        <v>1196.76</v>
      </c>
      <c r="AR98" s="36">
        <v>12</v>
      </c>
      <c r="AS98" s="21">
        <f t="shared" si="20"/>
        <v>12</v>
      </c>
      <c r="AT98">
        <f t="shared" si="21"/>
        <v>14361.119999999999</v>
      </c>
      <c r="AW98" s="39">
        <v>28.892034258788225</v>
      </c>
      <c r="AX98" s="21">
        <f t="shared" si="22"/>
        <v>1043.8350090702802</v>
      </c>
      <c r="AY98" s="36">
        <v>12</v>
      </c>
      <c r="AZ98" s="21">
        <f t="shared" si="23"/>
        <v>16.892034258788225</v>
      </c>
      <c r="BA98">
        <f t="shared" si="24"/>
        <v>17632.496733737691</v>
      </c>
      <c r="BB98" s="21">
        <f t="shared" si="25"/>
        <v>34855.774383397315</v>
      </c>
    </row>
    <row r="99" spans="1:54" x14ac:dyDescent="0.55000000000000004">
      <c r="A99" s="1" t="s">
        <v>12</v>
      </c>
      <c r="B99" s="1" t="s">
        <v>63</v>
      </c>
      <c r="C99" s="1" t="s">
        <v>2</v>
      </c>
      <c r="D99" s="2">
        <v>40</v>
      </c>
      <c r="E99" s="1">
        <v>679</v>
      </c>
      <c r="S99" t="s">
        <v>130</v>
      </c>
      <c r="V99" s="40"/>
      <c r="AB99" s="39">
        <v>37.14</v>
      </c>
      <c r="AC99" s="21">
        <f t="shared" si="13"/>
        <v>786.00360000000001</v>
      </c>
      <c r="AD99" s="36">
        <v>12</v>
      </c>
      <c r="AE99" s="21">
        <f t="shared" si="14"/>
        <v>25.14</v>
      </c>
      <c r="AF99">
        <f t="shared" si="15"/>
        <v>19760.130504000001</v>
      </c>
      <c r="AG99" s="21"/>
      <c r="AI99" s="39">
        <v>14</v>
      </c>
      <c r="AJ99" s="21">
        <f t="shared" si="16"/>
        <v>1509.36</v>
      </c>
      <c r="AK99" s="36">
        <v>12</v>
      </c>
      <c r="AL99" s="21">
        <f t="shared" si="17"/>
        <v>2</v>
      </c>
      <c r="AM99">
        <f t="shared" si="18"/>
        <v>3018.72</v>
      </c>
      <c r="AP99" s="39">
        <v>24</v>
      </c>
      <c r="AQ99" s="21">
        <f t="shared" si="19"/>
        <v>1196.76</v>
      </c>
      <c r="AR99" s="36">
        <v>12</v>
      </c>
      <c r="AS99" s="21">
        <f t="shared" si="20"/>
        <v>12</v>
      </c>
      <c r="AT99">
        <f t="shared" si="21"/>
        <v>14361.119999999999</v>
      </c>
      <c r="AW99" s="39">
        <v>28.892034258788225</v>
      </c>
      <c r="AX99" s="21">
        <f t="shared" si="22"/>
        <v>1043.8350090702802</v>
      </c>
      <c r="AY99" s="36">
        <v>12</v>
      </c>
      <c r="AZ99" s="21">
        <f t="shared" si="23"/>
        <v>16.892034258788225</v>
      </c>
      <c r="BA99">
        <f t="shared" si="24"/>
        <v>17632.496733737691</v>
      </c>
      <c r="BB99" s="21">
        <f t="shared" si="25"/>
        <v>34855.774383397315</v>
      </c>
    </row>
    <row r="100" spans="1:54" x14ac:dyDescent="0.55000000000000004">
      <c r="A100" s="1" t="s">
        <v>12</v>
      </c>
      <c r="B100" s="1" t="s">
        <v>63</v>
      </c>
      <c r="C100" s="1" t="s">
        <v>3</v>
      </c>
      <c r="D100" s="2">
        <v>40</v>
      </c>
      <c r="E100" s="1">
        <v>794</v>
      </c>
      <c r="AB100" s="39">
        <v>37.14</v>
      </c>
      <c r="AC100" s="21">
        <f>-31.26*AB100+1947</f>
        <v>786.00360000000001</v>
      </c>
      <c r="AD100" s="36">
        <v>12</v>
      </c>
      <c r="AE100" s="21">
        <f t="shared" si="14"/>
        <v>25.14</v>
      </c>
      <c r="AF100">
        <f t="shared" si="15"/>
        <v>19760.130504000001</v>
      </c>
      <c r="AG100" s="21"/>
      <c r="AI100" s="39">
        <v>14</v>
      </c>
      <c r="AJ100" s="21">
        <f>-31.26*AI100+1947</f>
        <v>1509.36</v>
      </c>
      <c r="AK100" s="36">
        <v>12</v>
      </c>
      <c r="AL100" s="21">
        <f t="shared" si="17"/>
        <v>2</v>
      </c>
      <c r="AM100">
        <f t="shared" si="18"/>
        <v>3018.72</v>
      </c>
      <c r="AP100" s="39">
        <v>24</v>
      </c>
      <c r="AQ100" s="21">
        <f>-31.26*AP100+1947</f>
        <v>1196.76</v>
      </c>
      <c r="AR100" s="36">
        <v>12</v>
      </c>
      <c r="AS100" s="21">
        <f t="shared" si="20"/>
        <v>12</v>
      </c>
      <c r="AT100">
        <f t="shared" si="21"/>
        <v>14361.119999999999</v>
      </c>
      <c r="AW100" s="39">
        <v>28.892034258788225</v>
      </c>
      <c r="AX100" s="21">
        <f>-31.26*AW100+1947</f>
        <v>1043.8350090702802</v>
      </c>
      <c r="AY100" s="36">
        <v>12</v>
      </c>
      <c r="AZ100" s="21">
        <f t="shared" si="23"/>
        <v>16.892034258788225</v>
      </c>
      <c r="BA100">
        <f t="shared" si="24"/>
        <v>17632.496733737691</v>
      </c>
      <c r="BB100" s="21">
        <f t="shared" si="25"/>
        <v>34855.774383397315</v>
      </c>
    </row>
    <row r="101" spans="1:54" x14ac:dyDescent="0.55000000000000004">
      <c r="A101" s="1" t="s">
        <v>12</v>
      </c>
      <c r="B101" s="1" t="s">
        <v>63</v>
      </c>
      <c r="C101" s="1" t="s">
        <v>4</v>
      </c>
      <c r="D101" s="2">
        <v>40</v>
      </c>
      <c r="E101" s="1">
        <v>688</v>
      </c>
      <c r="S101" t="s">
        <v>131</v>
      </c>
      <c r="AB101" s="39">
        <v>37.14</v>
      </c>
      <c r="AC101" s="21">
        <f t="shared" si="13"/>
        <v>786.00360000000001</v>
      </c>
      <c r="AD101" s="36">
        <v>12</v>
      </c>
      <c r="AE101" s="21">
        <f t="shared" si="14"/>
        <v>25.14</v>
      </c>
      <c r="AF101">
        <f t="shared" si="15"/>
        <v>19760.130504000001</v>
      </c>
      <c r="AG101" s="21"/>
      <c r="AI101" s="39">
        <v>14</v>
      </c>
      <c r="AJ101" s="21">
        <f t="shared" si="16"/>
        <v>1509.36</v>
      </c>
      <c r="AK101" s="36">
        <v>12</v>
      </c>
      <c r="AL101" s="21">
        <f t="shared" si="17"/>
        <v>2</v>
      </c>
      <c r="AM101">
        <f t="shared" si="18"/>
        <v>3018.72</v>
      </c>
      <c r="AP101" s="39">
        <v>24</v>
      </c>
      <c r="AQ101" s="21">
        <f t="shared" si="19"/>
        <v>1196.76</v>
      </c>
      <c r="AR101" s="36">
        <v>12</v>
      </c>
      <c r="AS101" s="21">
        <f t="shared" si="20"/>
        <v>12</v>
      </c>
      <c r="AT101">
        <f t="shared" si="21"/>
        <v>14361.119999999999</v>
      </c>
      <c r="AW101" s="39">
        <v>28.892034258788225</v>
      </c>
      <c r="AX101" s="21">
        <f t="shared" si="22"/>
        <v>1043.8350090702802</v>
      </c>
      <c r="AY101" s="36">
        <v>12</v>
      </c>
      <c r="AZ101" s="21">
        <f t="shared" si="23"/>
        <v>16.892034258788225</v>
      </c>
      <c r="BA101">
        <f t="shared" si="24"/>
        <v>17632.496733737691</v>
      </c>
      <c r="BB101" s="21">
        <f t="shared" si="25"/>
        <v>34855.774383397315</v>
      </c>
    </row>
    <row r="102" spans="1:54" x14ac:dyDescent="0.55000000000000004">
      <c r="A102" s="1" t="s">
        <v>12</v>
      </c>
      <c r="B102" s="1" t="s">
        <v>63</v>
      </c>
      <c r="C102" s="1" t="s">
        <v>5</v>
      </c>
      <c r="D102" s="2">
        <v>40</v>
      </c>
      <c r="E102" s="1">
        <v>626</v>
      </c>
      <c r="AB102" s="39">
        <v>37.14</v>
      </c>
      <c r="AC102" s="21">
        <f t="shared" si="13"/>
        <v>786.00360000000001</v>
      </c>
      <c r="AD102" s="36">
        <v>12</v>
      </c>
      <c r="AE102" s="21">
        <f t="shared" si="14"/>
        <v>25.14</v>
      </c>
      <c r="AF102">
        <f t="shared" si="15"/>
        <v>19760.130504000001</v>
      </c>
      <c r="AG102" s="21"/>
      <c r="AI102" s="39">
        <v>14</v>
      </c>
      <c r="AJ102" s="21">
        <f t="shared" si="16"/>
        <v>1509.36</v>
      </c>
      <c r="AK102" s="36">
        <v>12</v>
      </c>
      <c r="AL102" s="21">
        <f t="shared" si="17"/>
        <v>2</v>
      </c>
      <c r="AM102">
        <f t="shared" si="18"/>
        <v>3018.72</v>
      </c>
      <c r="AP102" s="39">
        <v>24</v>
      </c>
      <c r="AQ102" s="21">
        <f t="shared" si="19"/>
        <v>1196.76</v>
      </c>
      <c r="AR102" s="36">
        <v>12</v>
      </c>
      <c r="AS102" s="21">
        <f t="shared" si="20"/>
        <v>12</v>
      </c>
      <c r="AT102">
        <f t="shared" si="21"/>
        <v>14361.119999999999</v>
      </c>
      <c r="AW102" s="39">
        <v>28.892034258788225</v>
      </c>
      <c r="AX102" s="21">
        <f t="shared" si="22"/>
        <v>1043.8350090702802</v>
      </c>
      <c r="AY102" s="36">
        <v>12</v>
      </c>
      <c r="AZ102" s="21">
        <f t="shared" si="23"/>
        <v>16.892034258788225</v>
      </c>
      <c r="BA102">
        <f t="shared" si="24"/>
        <v>17632.496733737691</v>
      </c>
      <c r="BB102" s="21">
        <f t="shared" si="25"/>
        <v>34855.774383397315</v>
      </c>
    </row>
    <row r="103" spans="1:54" x14ac:dyDescent="0.55000000000000004">
      <c r="A103" s="1" t="s">
        <v>12</v>
      </c>
      <c r="B103" s="1" t="s">
        <v>63</v>
      </c>
      <c r="C103" s="1" t="s">
        <v>6</v>
      </c>
      <c r="D103" s="2">
        <v>40</v>
      </c>
      <c r="E103" s="1">
        <v>685</v>
      </c>
      <c r="AB103" s="39">
        <v>37.14</v>
      </c>
      <c r="AC103" s="21">
        <f t="shared" si="13"/>
        <v>786.00360000000001</v>
      </c>
      <c r="AD103" s="36">
        <v>12</v>
      </c>
      <c r="AE103" s="21">
        <f t="shared" si="14"/>
        <v>25.14</v>
      </c>
      <c r="AF103">
        <f t="shared" si="15"/>
        <v>19760.130504000001</v>
      </c>
      <c r="AG103" s="21"/>
      <c r="AI103" s="39">
        <v>14</v>
      </c>
      <c r="AJ103" s="21">
        <f t="shared" si="16"/>
        <v>1509.36</v>
      </c>
      <c r="AK103" s="36">
        <v>12</v>
      </c>
      <c r="AL103" s="21">
        <f t="shared" si="17"/>
        <v>2</v>
      </c>
      <c r="AM103">
        <f t="shared" si="18"/>
        <v>3018.72</v>
      </c>
      <c r="AP103" s="39">
        <v>24</v>
      </c>
      <c r="AQ103" s="21">
        <f t="shared" si="19"/>
        <v>1196.76</v>
      </c>
      <c r="AR103" s="36">
        <v>12</v>
      </c>
      <c r="AS103" s="21">
        <f t="shared" si="20"/>
        <v>12</v>
      </c>
      <c r="AT103">
        <f t="shared" si="21"/>
        <v>14361.119999999999</v>
      </c>
      <c r="AW103" s="39">
        <v>28.892034258788225</v>
      </c>
      <c r="AX103" s="21">
        <f t="shared" si="22"/>
        <v>1043.8350090702802</v>
      </c>
      <c r="AY103" s="36">
        <v>12</v>
      </c>
      <c r="AZ103" s="21">
        <f t="shared" si="23"/>
        <v>16.892034258788225</v>
      </c>
      <c r="BA103">
        <f t="shared" si="24"/>
        <v>17632.496733737691</v>
      </c>
      <c r="BB103" s="21">
        <f t="shared" si="25"/>
        <v>34855.774383397315</v>
      </c>
    </row>
    <row r="104" spans="1:54" x14ac:dyDescent="0.55000000000000004">
      <c r="A104" s="1" t="s">
        <v>12</v>
      </c>
      <c r="B104" s="1" t="s">
        <v>64</v>
      </c>
      <c r="C104" s="1" t="s">
        <v>1</v>
      </c>
      <c r="D104" s="2">
        <v>40</v>
      </c>
      <c r="E104" s="1">
        <v>697</v>
      </c>
      <c r="R104" t="s">
        <v>132</v>
      </c>
      <c r="S104" s="3" t="s">
        <v>133</v>
      </c>
      <c r="AB104" s="39">
        <v>37.14</v>
      </c>
      <c r="AC104" s="21">
        <f t="shared" si="13"/>
        <v>786.00360000000001</v>
      </c>
      <c r="AD104" s="36">
        <v>12</v>
      </c>
      <c r="AE104" s="21">
        <f t="shared" si="14"/>
        <v>25.14</v>
      </c>
      <c r="AF104">
        <f t="shared" si="15"/>
        <v>19760.130504000001</v>
      </c>
      <c r="AG104" s="21"/>
      <c r="AI104" s="39">
        <v>14</v>
      </c>
      <c r="AJ104" s="21">
        <f t="shared" si="16"/>
        <v>1509.36</v>
      </c>
      <c r="AK104" s="36">
        <v>12</v>
      </c>
      <c r="AL104" s="21">
        <f t="shared" si="17"/>
        <v>2</v>
      </c>
      <c r="AM104">
        <f t="shared" si="18"/>
        <v>3018.72</v>
      </c>
      <c r="AP104" s="39">
        <v>24</v>
      </c>
      <c r="AQ104" s="21">
        <f t="shared" si="19"/>
        <v>1196.76</v>
      </c>
      <c r="AR104" s="36">
        <v>12</v>
      </c>
      <c r="AS104" s="21">
        <f t="shared" si="20"/>
        <v>12</v>
      </c>
      <c r="AT104">
        <f t="shared" si="21"/>
        <v>14361.119999999999</v>
      </c>
      <c r="AW104" s="39">
        <v>28.892034258788225</v>
      </c>
      <c r="AX104" s="21">
        <f t="shared" si="22"/>
        <v>1043.8350090702802</v>
      </c>
      <c r="AY104" s="36">
        <v>12</v>
      </c>
      <c r="AZ104" s="21">
        <f t="shared" si="23"/>
        <v>16.892034258788225</v>
      </c>
      <c r="BA104">
        <f t="shared" si="24"/>
        <v>17632.496733737691</v>
      </c>
      <c r="BB104" s="21">
        <f t="shared" si="25"/>
        <v>34855.774383397315</v>
      </c>
    </row>
    <row r="105" spans="1:54" x14ac:dyDescent="0.55000000000000004">
      <c r="A105" s="1" t="s">
        <v>12</v>
      </c>
      <c r="B105" s="1" t="s">
        <v>64</v>
      </c>
      <c r="C105" s="1" t="s">
        <v>2</v>
      </c>
      <c r="D105" s="2">
        <v>40</v>
      </c>
      <c r="E105" s="1">
        <v>650</v>
      </c>
      <c r="S105" s="33"/>
      <c r="AB105" s="39">
        <v>37.14</v>
      </c>
      <c r="AC105" s="21">
        <f t="shared" si="13"/>
        <v>786.00360000000001</v>
      </c>
      <c r="AD105" s="36">
        <v>12</v>
      </c>
      <c r="AE105" s="21">
        <f t="shared" si="14"/>
        <v>25.14</v>
      </c>
      <c r="AF105">
        <f t="shared" si="15"/>
        <v>19760.130504000001</v>
      </c>
      <c r="AG105" s="21"/>
      <c r="AI105" s="39">
        <v>14</v>
      </c>
      <c r="AJ105" s="21">
        <f t="shared" si="16"/>
        <v>1509.36</v>
      </c>
      <c r="AK105" s="36">
        <v>12</v>
      </c>
      <c r="AL105" s="21">
        <f t="shared" si="17"/>
        <v>2</v>
      </c>
      <c r="AM105">
        <f t="shared" si="18"/>
        <v>3018.72</v>
      </c>
      <c r="AP105" s="39">
        <v>24</v>
      </c>
      <c r="AQ105" s="21">
        <f t="shared" si="19"/>
        <v>1196.76</v>
      </c>
      <c r="AR105" s="36">
        <v>12</v>
      </c>
      <c r="AS105" s="21">
        <f t="shared" si="20"/>
        <v>12</v>
      </c>
      <c r="AT105">
        <f t="shared" si="21"/>
        <v>14361.119999999999</v>
      </c>
      <c r="AW105" s="39">
        <v>28.892034258788225</v>
      </c>
      <c r="AX105" s="21">
        <f t="shared" si="22"/>
        <v>1043.8350090702802</v>
      </c>
      <c r="AY105" s="36">
        <v>12</v>
      </c>
      <c r="AZ105" s="21">
        <f t="shared" si="23"/>
        <v>16.892034258788225</v>
      </c>
      <c r="BA105">
        <f t="shared" si="24"/>
        <v>17632.496733737691</v>
      </c>
      <c r="BB105" s="21">
        <f t="shared" si="25"/>
        <v>34855.774383397315</v>
      </c>
    </row>
    <row r="106" spans="1:54" x14ac:dyDescent="0.55000000000000004">
      <c r="A106" s="1" t="s">
        <v>12</v>
      </c>
      <c r="B106" s="1" t="s">
        <v>64</v>
      </c>
      <c r="C106" s="1" t="s">
        <v>3</v>
      </c>
      <c r="D106" s="2">
        <v>40</v>
      </c>
      <c r="E106" s="1">
        <v>793</v>
      </c>
      <c r="S106" s="34" t="s">
        <v>134</v>
      </c>
      <c r="AB106" s="39">
        <v>37.14</v>
      </c>
      <c r="AC106" s="21">
        <f t="shared" si="13"/>
        <v>786.00360000000001</v>
      </c>
      <c r="AD106" s="36">
        <v>12</v>
      </c>
      <c r="AE106" s="21">
        <f t="shared" si="14"/>
        <v>25.14</v>
      </c>
      <c r="AF106">
        <f t="shared" si="15"/>
        <v>19760.130504000001</v>
      </c>
      <c r="AG106" s="21"/>
      <c r="AI106" s="39">
        <v>14</v>
      </c>
      <c r="AJ106" s="21">
        <f t="shared" si="16"/>
        <v>1509.36</v>
      </c>
      <c r="AK106" s="36">
        <v>12</v>
      </c>
      <c r="AL106" s="21">
        <f t="shared" si="17"/>
        <v>2</v>
      </c>
      <c r="AM106">
        <f t="shared" si="18"/>
        <v>3018.72</v>
      </c>
      <c r="AP106" s="39">
        <v>24</v>
      </c>
      <c r="AQ106" s="21">
        <f t="shared" si="19"/>
        <v>1196.76</v>
      </c>
      <c r="AR106" s="36">
        <v>12</v>
      </c>
      <c r="AS106" s="21">
        <f t="shared" si="20"/>
        <v>12</v>
      </c>
      <c r="AT106">
        <f t="shared" si="21"/>
        <v>14361.119999999999</v>
      </c>
      <c r="AW106" s="39">
        <v>28.892034258788225</v>
      </c>
      <c r="AX106" s="21">
        <f t="shared" si="22"/>
        <v>1043.8350090702802</v>
      </c>
      <c r="AY106" s="36">
        <v>12</v>
      </c>
      <c r="AZ106" s="21">
        <f t="shared" si="23"/>
        <v>16.892034258788225</v>
      </c>
      <c r="BA106">
        <f t="shared" si="24"/>
        <v>17632.496733737691</v>
      </c>
      <c r="BB106" s="21">
        <f t="shared" si="25"/>
        <v>34855.774383397315</v>
      </c>
    </row>
    <row r="107" spans="1:54" x14ac:dyDescent="0.55000000000000004">
      <c r="A107" s="1" t="s">
        <v>12</v>
      </c>
      <c r="B107" s="1" t="s">
        <v>64</v>
      </c>
      <c r="C107" s="1" t="s">
        <v>4</v>
      </c>
      <c r="D107" s="2">
        <v>40</v>
      </c>
      <c r="E107" s="1">
        <v>757</v>
      </c>
      <c r="S107" s="33"/>
      <c r="AB107" s="39">
        <v>37.14</v>
      </c>
      <c r="AC107" s="21">
        <f t="shared" si="13"/>
        <v>786.00360000000001</v>
      </c>
      <c r="AD107" s="36">
        <v>12</v>
      </c>
      <c r="AE107" s="21">
        <f t="shared" si="14"/>
        <v>25.14</v>
      </c>
      <c r="AF107">
        <f t="shared" si="15"/>
        <v>19760.130504000001</v>
      </c>
      <c r="AG107" s="21"/>
      <c r="AI107" s="39">
        <v>14</v>
      </c>
      <c r="AJ107" s="21">
        <f t="shared" si="16"/>
        <v>1509.36</v>
      </c>
      <c r="AK107" s="36">
        <v>12</v>
      </c>
      <c r="AL107" s="21">
        <f t="shared" si="17"/>
        <v>2</v>
      </c>
      <c r="AM107">
        <f t="shared" si="18"/>
        <v>3018.72</v>
      </c>
      <c r="AP107" s="39">
        <v>24</v>
      </c>
      <c r="AQ107" s="21">
        <f t="shared" si="19"/>
        <v>1196.76</v>
      </c>
      <c r="AR107" s="36">
        <v>12</v>
      </c>
      <c r="AS107" s="21">
        <f t="shared" si="20"/>
        <v>12</v>
      </c>
      <c r="AT107">
        <f t="shared" si="21"/>
        <v>14361.119999999999</v>
      </c>
      <c r="AW107" s="39">
        <v>28.892034258788225</v>
      </c>
      <c r="AX107" s="21">
        <f t="shared" si="22"/>
        <v>1043.8350090702802</v>
      </c>
      <c r="AY107" s="36">
        <v>12</v>
      </c>
      <c r="AZ107" s="21">
        <f t="shared" si="23"/>
        <v>16.892034258788225</v>
      </c>
      <c r="BA107">
        <f t="shared" si="24"/>
        <v>17632.496733737691</v>
      </c>
      <c r="BB107" s="21">
        <f t="shared" si="25"/>
        <v>34855.774383397315</v>
      </c>
    </row>
    <row r="108" spans="1:54" x14ac:dyDescent="0.55000000000000004">
      <c r="A108" s="1" t="s">
        <v>12</v>
      </c>
      <c r="B108" s="1" t="s">
        <v>64</v>
      </c>
      <c r="C108" s="1" t="s">
        <v>5</v>
      </c>
      <c r="D108" s="2">
        <v>40</v>
      </c>
      <c r="E108" s="1">
        <v>582</v>
      </c>
      <c r="S108" s="34" t="s">
        <v>135</v>
      </c>
      <c r="AB108" s="39">
        <v>37.14</v>
      </c>
      <c r="AC108" s="21">
        <f t="shared" si="13"/>
        <v>786.00360000000001</v>
      </c>
      <c r="AD108" s="36">
        <v>12</v>
      </c>
      <c r="AE108" s="21">
        <f t="shared" si="14"/>
        <v>25.14</v>
      </c>
      <c r="AF108">
        <f t="shared" si="15"/>
        <v>19760.130504000001</v>
      </c>
      <c r="AG108" s="21"/>
      <c r="AI108" s="39">
        <v>14</v>
      </c>
      <c r="AJ108" s="21">
        <f t="shared" si="16"/>
        <v>1509.36</v>
      </c>
      <c r="AK108" s="36">
        <v>12</v>
      </c>
      <c r="AL108" s="21">
        <f t="shared" si="17"/>
        <v>2</v>
      </c>
      <c r="AM108">
        <f t="shared" si="18"/>
        <v>3018.72</v>
      </c>
      <c r="AP108" s="39">
        <v>24</v>
      </c>
      <c r="AQ108" s="21">
        <f t="shared" si="19"/>
        <v>1196.76</v>
      </c>
      <c r="AR108" s="36">
        <v>12</v>
      </c>
      <c r="AS108" s="21">
        <f t="shared" si="20"/>
        <v>12</v>
      </c>
      <c r="AT108">
        <f t="shared" si="21"/>
        <v>14361.119999999999</v>
      </c>
      <c r="AW108" s="39">
        <v>28.892034258788225</v>
      </c>
      <c r="AX108" s="21">
        <f t="shared" si="22"/>
        <v>1043.8350090702802</v>
      </c>
      <c r="AY108" s="36">
        <v>12</v>
      </c>
      <c r="AZ108" s="21">
        <f t="shared" si="23"/>
        <v>16.892034258788225</v>
      </c>
      <c r="BA108">
        <f t="shared" si="24"/>
        <v>17632.496733737691</v>
      </c>
      <c r="BB108" s="21">
        <f t="shared" si="25"/>
        <v>34855.774383397315</v>
      </c>
    </row>
    <row r="109" spans="1:54" x14ac:dyDescent="0.55000000000000004">
      <c r="A109" s="1" t="s">
        <v>12</v>
      </c>
      <c r="B109" s="1" t="s">
        <v>64</v>
      </c>
      <c r="C109" s="1" t="s">
        <v>6</v>
      </c>
      <c r="D109" s="2">
        <v>40</v>
      </c>
      <c r="E109" s="1">
        <v>788</v>
      </c>
      <c r="S109" s="33"/>
      <c r="AB109" s="39">
        <v>37.14</v>
      </c>
      <c r="AC109" s="21">
        <f t="shared" si="13"/>
        <v>786.00360000000001</v>
      </c>
      <c r="AD109" s="36">
        <v>12</v>
      </c>
      <c r="AE109" s="21">
        <f t="shared" si="14"/>
        <v>25.14</v>
      </c>
      <c r="AF109">
        <f t="shared" si="15"/>
        <v>19760.130504000001</v>
      </c>
      <c r="AG109" s="21"/>
      <c r="AI109" s="39">
        <v>14</v>
      </c>
      <c r="AJ109" s="21">
        <f t="shared" si="16"/>
        <v>1509.36</v>
      </c>
      <c r="AK109" s="36">
        <v>12</v>
      </c>
      <c r="AL109" s="21">
        <f t="shared" si="17"/>
        <v>2</v>
      </c>
      <c r="AM109">
        <f t="shared" si="18"/>
        <v>3018.72</v>
      </c>
      <c r="AP109" s="39">
        <v>24</v>
      </c>
      <c r="AQ109" s="21">
        <f t="shared" si="19"/>
        <v>1196.76</v>
      </c>
      <c r="AR109" s="36">
        <v>12</v>
      </c>
      <c r="AS109" s="21">
        <f t="shared" si="20"/>
        <v>12</v>
      </c>
      <c r="AT109">
        <f t="shared" si="21"/>
        <v>14361.119999999999</v>
      </c>
      <c r="AW109" s="39">
        <v>28.892034258788225</v>
      </c>
      <c r="AX109" s="21">
        <f t="shared" si="22"/>
        <v>1043.8350090702802</v>
      </c>
      <c r="AY109" s="36">
        <v>12</v>
      </c>
      <c r="AZ109" s="21">
        <f t="shared" si="23"/>
        <v>16.892034258788225</v>
      </c>
      <c r="BA109">
        <f t="shared" si="24"/>
        <v>17632.496733737691</v>
      </c>
      <c r="BB109" s="21">
        <f t="shared" si="25"/>
        <v>34855.774383397315</v>
      </c>
    </row>
    <row r="110" spans="1:54" x14ac:dyDescent="0.55000000000000004">
      <c r="A110" s="1" t="s">
        <v>12</v>
      </c>
      <c r="B110" s="1" t="s">
        <v>65</v>
      </c>
      <c r="C110" s="1" t="s">
        <v>1</v>
      </c>
      <c r="D110" s="2">
        <v>40</v>
      </c>
      <c r="E110" s="1">
        <v>622</v>
      </c>
      <c r="S110" s="34" t="s">
        <v>136</v>
      </c>
      <c r="AB110" s="39">
        <v>37.14</v>
      </c>
      <c r="AC110" s="21">
        <f t="shared" si="13"/>
        <v>786.00360000000001</v>
      </c>
      <c r="AD110" s="36">
        <v>12</v>
      </c>
      <c r="AE110" s="21">
        <f t="shared" si="14"/>
        <v>25.14</v>
      </c>
      <c r="AF110">
        <f t="shared" si="15"/>
        <v>19760.130504000001</v>
      </c>
      <c r="AG110" s="21"/>
      <c r="AI110" s="39">
        <v>14</v>
      </c>
      <c r="AJ110" s="21">
        <f t="shared" si="16"/>
        <v>1509.36</v>
      </c>
      <c r="AK110" s="36">
        <v>12</v>
      </c>
      <c r="AL110" s="21">
        <f t="shared" si="17"/>
        <v>2</v>
      </c>
      <c r="AM110">
        <f t="shared" si="18"/>
        <v>3018.72</v>
      </c>
      <c r="AP110" s="39">
        <v>24</v>
      </c>
      <c r="AQ110" s="21">
        <f t="shared" si="19"/>
        <v>1196.76</v>
      </c>
      <c r="AR110" s="36">
        <v>12</v>
      </c>
      <c r="AS110" s="21">
        <f t="shared" si="20"/>
        <v>12</v>
      </c>
      <c r="AT110">
        <f t="shared" si="21"/>
        <v>14361.119999999999</v>
      </c>
      <c r="AW110" s="39">
        <v>28.892034258788225</v>
      </c>
      <c r="AX110" s="21">
        <f t="shared" si="22"/>
        <v>1043.8350090702802</v>
      </c>
      <c r="AY110" s="36">
        <v>12</v>
      </c>
      <c r="AZ110" s="21">
        <f t="shared" si="23"/>
        <v>16.892034258788225</v>
      </c>
      <c r="BA110">
        <f t="shared" si="24"/>
        <v>17632.496733737691</v>
      </c>
      <c r="BB110" s="21">
        <f t="shared" si="25"/>
        <v>34855.774383397315</v>
      </c>
    </row>
    <row r="111" spans="1:54" x14ac:dyDescent="0.55000000000000004">
      <c r="A111" s="1" t="s">
        <v>12</v>
      </c>
      <c r="B111" s="1" t="s">
        <v>65</v>
      </c>
      <c r="C111" s="1" t="s">
        <v>2</v>
      </c>
      <c r="D111" s="2">
        <v>40</v>
      </c>
      <c r="E111" s="1">
        <v>781</v>
      </c>
      <c r="AB111" s="39">
        <v>37.14</v>
      </c>
      <c r="AC111" s="21">
        <f t="shared" si="13"/>
        <v>786.00360000000001</v>
      </c>
      <c r="AD111" s="36">
        <v>12</v>
      </c>
      <c r="AE111" s="21">
        <f t="shared" si="14"/>
        <v>25.14</v>
      </c>
      <c r="AF111">
        <f t="shared" si="15"/>
        <v>19760.130504000001</v>
      </c>
      <c r="AG111" s="21"/>
      <c r="AI111" s="39">
        <v>14</v>
      </c>
      <c r="AJ111" s="21">
        <f t="shared" si="16"/>
        <v>1509.36</v>
      </c>
      <c r="AK111" s="36">
        <v>12</v>
      </c>
      <c r="AL111" s="21">
        <f t="shared" si="17"/>
        <v>2</v>
      </c>
      <c r="AM111">
        <f t="shared" si="18"/>
        <v>3018.72</v>
      </c>
      <c r="AP111" s="39">
        <v>24</v>
      </c>
      <c r="AQ111" s="21">
        <f t="shared" si="19"/>
        <v>1196.76</v>
      </c>
      <c r="AR111" s="36">
        <v>12</v>
      </c>
      <c r="AS111" s="21">
        <f t="shared" si="20"/>
        <v>12</v>
      </c>
      <c r="AT111">
        <f t="shared" si="21"/>
        <v>14361.119999999999</v>
      </c>
      <c r="AW111" s="39">
        <v>28.892034258788225</v>
      </c>
      <c r="AX111" s="21">
        <f t="shared" si="22"/>
        <v>1043.8350090702802</v>
      </c>
      <c r="AY111" s="36">
        <v>12</v>
      </c>
      <c r="AZ111" s="21">
        <f t="shared" si="23"/>
        <v>16.892034258788225</v>
      </c>
      <c r="BA111">
        <f t="shared" si="24"/>
        <v>17632.496733737691</v>
      </c>
      <c r="BB111" s="21">
        <f t="shared" si="25"/>
        <v>34855.774383397315</v>
      </c>
    </row>
    <row r="112" spans="1:54" x14ac:dyDescent="0.55000000000000004">
      <c r="A112" s="1" t="s">
        <v>12</v>
      </c>
      <c r="B112" s="1" t="s">
        <v>65</v>
      </c>
      <c r="C112" s="1" t="s">
        <v>3</v>
      </c>
      <c r="D112" s="2">
        <v>40</v>
      </c>
      <c r="E112" s="1">
        <v>686</v>
      </c>
      <c r="S112" t="s">
        <v>137</v>
      </c>
      <c r="AB112" s="39">
        <v>37.14</v>
      </c>
      <c r="AC112" s="21">
        <f t="shared" si="13"/>
        <v>786.00360000000001</v>
      </c>
      <c r="AD112" s="36">
        <v>12</v>
      </c>
      <c r="AE112" s="21">
        <f t="shared" si="14"/>
        <v>25.14</v>
      </c>
      <c r="AF112">
        <f t="shared" si="15"/>
        <v>19760.130504000001</v>
      </c>
      <c r="AG112" s="21"/>
      <c r="AI112" s="39">
        <v>14</v>
      </c>
      <c r="AJ112" s="21">
        <f t="shared" si="16"/>
        <v>1509.36</v>
      </c>
      <c r="AK112" s="36">
        <v>12</v>
      </c>
      <c r="AL112" s="21">
        <f t="shared" si="17"/>
        <v>2</v>
      </c>
      <c r="AM112">
        <f t="shared" si="18"/>
        <v>3018.72</v>
      </c>
      <c r="AP112" s="39">
        <v>24</v>
      </c>
      <c r="AQ112" s="21">
        <f t="shared" si="19"/>
        <v>1196.76</v>
      </c>
      <c r="AR112" s="36">
        <v>12</v>
      </c>
      <c r="AS112" s="21">
        <f t="shared" si="20"/>
        <v>12</v>
      </c>
      <c r="AT112">
        <f t="shared" si="21"/>
        <v>14361.119999999999</v>
      </c>
      <c r="AW112" s="39">
        <v>28.892034258788225</v>
      </c>
      <c r="AX112" s="21">
        <f t="shared" si="22"/>
        <v>1043.8350090702802</v>
      </c>
      <c r="AY112" s="36">
        <v>12</v>
      </c>
      <c r="AZ112" s="21">
        <f t="shared" si="23"/>
        <v>16.892034258788225</v>
      </c>
      <c r="BA112">
        <f t="shared" si="24"/>
        <v>17632.496733737691</v>
      </c>
      <c r="BB112" s="21">
        <f t="shared" si="25"/>
        <v>34855.774383397315</v>
      </c>
    </row>
    <row r="113" spans="1:54" x14ac:dyDescent="0.55000000000000004">
      <c r="A113" s="1" t="s">
        <v>12</v>
      </c>
      <c r="B113" s="1" t="s">
        <v>65</v>
      </c>
      <c r="C113" s="1" t="s">
        <v>4</v>
      </c>
      <c r="D113" s="2">
        <v>40</v>
      </c>
      <c r="E113" s="1">
        <v>765</v>
      </c>
      <c r="AB113" s="39">
        <v>37.14</v>
      </c>
      <c r="AC113" s="21">
        <f t="shared" si="13"/>
        <v>786.00360000000001</v>
      </c>
      <c r="AD113" s="36">
        <v>12</v>
      </c>
      <c r="AE113" s="21">
        <f t="shared" si="14"/>
        <v>25.14</v>
      </c>
      <c r="AF113">
        <f t="shared" si="15"/>
        <v>19760.130504000001</v>
      </c>
      <c r="AG113" s="21"/>
      <c r="AI113" s="39">
        <v>14</v>
      </c>
      <c r="AJ113" s="21">
        <f t="shared" si="16"/>
        <v>1509.36</v>
      </c>
      <c r="AK113" s="36">
        <v>12</v>
      </c>
      <c r="AL113" s="21">
        <f t="shared" si="17"/>
        <v>2</v>
      </c>
      <c r="AM113">
        <f t="shared" si="18"/>
        <v>3018.72</v>
      </c>
      <c r="AP113" s="39">
        <v>24</v>
      </c>
      <c r="AQ113" s="21">
        <f t="shared" si="19"/>
        <v>1196.76</v>
      </c>
      <c r="AR113" s="36">
        <v>12</v>
      </c>
      <c r="AS113" s="21">
        <f t="shared" si="20"/>
        <v>12</v>
      </c>
      <c r="AT113">
        <f t="shared" si="21"/>
        <v>14361.119999999999</v>
      </c>
      <c r="AW113" s="39">
        <v>28.892034258788225</v>
      </c>
      <c r="AX113" s="21">
        <f t="shared" si="22"/>
        <v>1043.8350090702802</v>
      </c>
      <c r="AY113" s="36">
        <v>12</v>
      </c>
      <c r="AZ113" s="21">
        <f t="shared" si="23"/>
        <v>16.892034258788225</v>
      </c>
      <c r="BA113">
        <f t="shared" si="24"/>
        <v>17632.496733737691</v>
      </c>
      <c r="BB113" s="21">
        <f t="shared" si="25"/>
        <v>34855.774383397315</v>
      </c>
    </row>
    <row r="114" spans="1:54" x14ac:dyDescent="0.55000000000000004">
      <c r="A114" s="1" t="s">
        <v>12</v>
      </c>
      <c r="B114" s="1" t="s">
        <v>65</v>
      </c>
      <c r="C114" s="1" t="s">
        <v>5</v>
      </c>
      <c r="D114" s="2">
        <v>40</v>
      </c>
      <c r="E114" s="1">
        <v>796</v>
      </c>
      <c r="S114" s="3" t="s">
        <v>138</v>
      </c>
      <c r="AB114" s="39">
        <v>37.14</v>
      </c>
      <c r="AC114" s="21">
        <f t="shared" si="13"/>
        <v>786.00360000000001</v>
      </c>
      <c r="AD114" s="36">
        <v>12</v>
      </c>
      <c r="AE114" s="21">
        <f t="shared" si="14"/>
        <v>25.14</v>
      </c>
      <c r="AF114">
        <f t="shared" si="15"/>
        <v>19760.130504000001</v>
      </c>
      <c r="AG114" s="21"/>
      <c r="AI114" s="39">
        <v>14</v>
      </c>
      <c r="AJ114" s="21">
        <f t="shared" si="16"/>
        <v>1509.36</v>
      </c>
      <c r="AK114" s="36">
        <v>12</v>
      </c>
      <c r="AL114" s="21">
        <f t="shared" si="17"/>
        <v>2</v>
      </c>
      <c r="AM114">
        <f t="shared" si="18"/>
        <v>3018.72</v>
      </c>
      <c r="AP114" s="39">
        <v>24</v>
      </c>
      <c r="AQ114" s="21">
        <f t="shared" si="19"/>
        <v>1196.76</v>
      </c>
      <c r="AR114" s="36">
        <v>12</v>
      </c>
      <c r="AS114" s="21">
        <f t="shared" si="20"/>
        <v>12</v>
      </c>
      <c r="AT114">
        <f t="shared" si="21"/>
        <v>14361.119999999999</v>
      </c>
      <c r="AW114" s="39">
        <v>28.892034258788225</v>
      </c>
      <c r="AX114" s="21">
        <f t="shared" si="22"/>
        <v>1043.8350090702802</v>
      </c>
      <c r="AY114" s="36">
        <v>12</v>
      </c>
      <c r="AZ114" s="21">
        <f t="shared" si="23"/>
        <v>16.892034258788225</v>
      </c>
      <c r="BA114">
        <f t="shared" si="24"/>
        <v>17632.496733737691</v>
      </c>
      <c r="BB114" s="21">
        <f t="shared" si="25"/>
        <v>34855.774383397315</v>
      </c>
    </row>
    <row r="115" spans="1:54" x14ac:dyDescent="0.55000000000000004">
      <c r="A115" s="1" t="s">
        <v>12</v>
      </c>
      <c r="B115" s="1" t="s">
        <v>65</v>
      </c>
      <c r="C115" s="1" t="s">
        <v>6</v>
      </c>
      <c r="D115" s="2">
        <v>40</v>
      </c>
      <c r="E115" s="1">
        <v>631</v>
      </c>
      <c r="S115" s="33"/>
      <c r="AB115" s="39">
        <v>37.14</v>
      </c>
      <c r="AC115" s="21">
        <f t="shared" si="13"/>
        <v>786.00360000000001</v>
      </c>
      <c r="AD115" s="36">
        <v>12</v>
      </c>
      <c r="AE115" s="21">
        <f t="shared" si="14"/>
        <v>25.14</v>
      </c>
      <c r="AF115">
        <f t="shared" si="15"/>
        <v>19760.130504000001</v>
      </c>
      <c r="AG115" s="21"/>
      <c r="AI115" s="39">
        <v>14</v>
      </c>
      <c r="AJ115" s="21">
        <f t="shared" si="16"/>
        <v>1509.36</v>
      </c>
      <c r="AK115" s="36">
        <v>12</v>
      </c>
      <c r="AL115" s="21">
        <f t="shared" si="17"/>
        <v>2</v>
      </c>
      <c r="AM115">
        <f t="shared" si="18"/>
        <v>3018.72</v>
      </c>
      <c r="AP115" s="39">
        <v>24</v>
      </c>
      <c r="AQ115" s="21">
        <f t="shared" si="19"/>
        <v>1196.76</v>
      </c>
      <c r="AR115" s="36">
        <v>12</v>
      </c>
      <c r="AS115" s="21">
        <f t="shared" si="20"/>
        <v>12</v>
      </c>
      <c r="AT115">
        <f t="shared" si="21"/>
        <v>14361.119999999999</v>
      </c>
      <c r="AW115" s="39">
        <v>28.892034258788225</v>
      </c>
      <c r="AX115" s="21">
        <f t="shared" si="22"/>
        <v>1043.8350090702802</v>
      </c>
      <c r="AY115" s="36">
        <v>12</v>
      </c>
      <c r="AZ115" s="21">
        <f t="shared" si="23"/>
        <v>16.892034258788225</v>
      </c>
      <c r="BA115">
        <f t="shared" si="24"/>
        <v>17632.496733737691</v>
      </c>
      <c r="BB115" s="21">
        <f t="shared" si="25"/>
        <v>34855.774383397315</v>
      </c>
    </row>
    <row r="116" spans="1:54" x14ac:dyDescent="0.55000000000000004">
      <c r="S116" s="34" t="s">
        <v>139</v>
      </c>
      <c r="AF116" s="38">
        <f>SUM(AF8:AF115)</f>
        <v>2134094.0944320001</v>
      </c>
      <c r="AG116" s="50"/>
      <c r="AM116" s="38">
        <f>SUM(AM8:AM115)</f>
        <v>326021.75999999949</v>
      </c>
      <c r="AT116" s="38">
        <f>SUM(AT8:AT115)</f>
        <v>1551000.9600000037</v>
      </c>
      <c r="BA116" s="38">
        <f>SUM(BA8:BA115)</f>
        <v>1904309.6472436672</v>
      </c>
      <c r="BB116" s="49">
        <f>SUM(BB8:BB115)</f>
        <v>3764423.6334069096</v>
      </c>
    </row>
    <row r="117" spans="1:54" ht="23.1" x14ac:dyDescent="0.85">
      <c r="A117" s="52" t="s">
        <v>197</v>
      </c>
      <c r="D117" t="s">
        <v>0</v>
      </c>
      <c r="E117" t="s">
        <v>207</v>
      </c>
      <c r="F117" t="s">
        <v>206</v>
      </c>
    </row>
    <row r="118" spans="1:54" x14ac:dyDescent="0.55000000000000004">
      <c r="A118" s="1"/>
      <c r="B118" s="36"/>
      <c r="D118" s="36">
        <v>5</v>
      </c>
      <c r="E118" s="36">
        <f>384*(D118/50)^-5</f>
        <v>38399999.999999978</v>
      </c>
      <c r="F118" s="36">
        <f>-113242*D118+8000000</f>
        <v>7433790</v>
      </c>
      <c r="S118" t="s">
        <v>140</v>
      </c>
    </row>
    <row r="119" spans="1:54" x14ac:dyDescent="0.55000000000000004">
      <c r="A119" s="1" t="s">
        <v>189</v>
      </c>
      <c r="B119" s="36">
        <v>50</v>
      </c>
      <c r="D119" s="36">
        <v>10</v>
      </c>
      <c r="E119" s="36">
        <f>384*(D119/50)^-5</f>
        <v>1199999.9999999993</v>
      </c>
      <c r="F119" s="36">
        <f t="shared" ref="F119:F137" si="26">-113242*D119+8000000</f>
        <v>6867580</v>
      </c>
      <c r="S119" s="33"/>
    </row>
    <row r="120" spans="1:54" x14ac:dyDescent="0.55000000000000004">
      <c r="A120" s="1" t="s">
        <v>190</v>
      </c>
      <c r="B120">
        <v>384</v>
      </c>
      <c r="D120" s="36">
        <v>15</v>
      </c>
      <c r="E120" s="36">
        <f t="shared" ref="E119:E137" si="27">384*(D120/50)^-5</f>
        <v>158024.69135802469</v>
      </c>
      <c r="F120" s="36">
        <f t="shared" si="26"/>
        <v>6301370</v>
      </c>
      <c r="S120" s="34" t="s">
        <v>141</v>
      </c>
    </row>
    <row r="121" spans="1:54" x14ac:dyDescent="0.55000000000000004">
      <c r="A121" s="1" t="s">
        <v>16</v>
      </c>
      <c r="B121">
        <v>5</v>
      </c>
      <c r="D121" s="36">
        <v>20</v>
      </c>
      <c r="E121" s="36">
        <f t="shared" si="27"/>
        <v>37499.999999999978</v>
      </c>
      <c r="F121" s="36">
        <f>-113242*D121+8000000</f>
        <v>5735160</v>
      </c>
    </row>
    <row r="122" spans="1:54" x14ac:dyDescent="0.55000000000000004">
      <c r="A122" s="1" t="s">
        <v>191</v>
      </c>
      <c r="B122">
        <v>20</v>
      </c>
      <c r="D122" s="36">
        <v>25</v>
      </c>
      <c r="E122" s="36">
        <f t="shared" si="27"/>
        <v>12288</v>
      </c>
      <c r="F122" s="36">
        <f t="shared" si="26"/>
        <v>5168950</v>
      </c>
      <c r="S122" s="3" t="s">
        <v>142</v>
      </c>
    </row>
    <row r="123" spans="1:54" x14ac:dyDescent="0.55000000000000004">
      <c r="A123" s="1"/>
      <c r="D123" s="36">
        <v>30</v>
      </c>
      <c r="E123" s="36">
        <f t="shared" si="27"/>
        <v>4938.2716049382716</v>
      </c>
      <c r="F123" s="36">
        <f t="shared" si="26"/>
        <v>4602740</v>
      </c>
      <c r="S123" s="33"/>
    </row>
    <row r="124" spans="1:54" x14ac:dyDescent="0.55000000000000004">
      <c r="A124" s="1" t="s">
        <v>194</v>
      </c>
      <c r="B124" s="30">
        <v>45.32258334989897</v>
      </c>
      <c r="D124" s="36">
        <v>35</v>
      </c>
      <c r="E124" s="36">
        <f t="shared" si="27"/>
        <v>2284.7623014220271</v>
      </c>
      <c r="F124" s="36">
        <f t="shared" si="26"/>
        <v>4036530</v>
      </c>
      <c r="S124" s="33" t="s">
        <v>143</v>
      </c>
    </row>
    <row r="125" spans="1:54" x14ac:dyDescent="0.55000000000000004">
      <c r="A125" t="s">
        <v>193</v>
      </c>
      <c r="B125" s="36">
        <f xml:space="preserve"> -113242*B124 + 8000000</f>
        <v>2867580.016290741</v>
      </c>
      <c r="D125" s="36">
        <v>40</v>
      </c>
      <c r="E125" s="36">
        <f t="shared" si="27"/>
        <v>1171.8749999999993</v>
      </c>
      <c r="F125" s="36">
        <f t="shared" si="26"/>
        <v>3470320</v>
      </c>
      <c r="S125" s="33"/>
    </row>
    <row r="126" spans="1:54" x14ac:dyDescent="0.55000000000000004">
      <c r="A126" t="s">
        <v>113</v>
      </c>
      <c r="B126" s="36">
        <f>B124-B122</f>
        <v>25.32258334989897</v>
      </c>
      <c r="D126" s="36">
        <v>45</v>
      </c>
      <c r="E126" s="36">
        <f t="shared" si="27"/>
        <v>650.30737184372288</v>
      </c>
      <c r="F126" s="36">
        <f t="shared" si="26"/>
        <v>2904110</v>
      </c>
      <c r="S126" s="33" t="s">
        <v>144</v>
      </c>
    </row>
    <row r="127" spans="1:54" x14ac:dyDescent="0.55000000000000004">
      <c r="A127" t="s">
        <v>195</v>
      </c>
      <c r="B127" s="38">
        <f>B125*B126</f>
        <v>72614533.975026935</v>
      </c>
      <c r="D127" s="36">
        <v>50</v>
      </c>
      <c r="E127" s="36">
        <f t="shared" si="27"/>
        <v>384</v>
      </c>
      <c r="F127" s="36">
        <f>-113242*D127+8000000</f>
        <v>2337900</v>
      </c>
    </row>
    <row r="128" spans="1:54" x14ac:dyDescent="0.55000000000000004">
      <c r="D128" s="36">
        <v>55</v>
      </c>
      <c r="E128" s="36">
        <f t="shared" si="27"/>
        <v>238.43378805471548</v>
      </c>
      <c r="F128" s="36">
        <f t="shared" si="26"/>
        <v>1771690</v>
      </c>
      <c r="S128" s="3" t="s">
        <v>145</v>
      </c>
    </row>
    <row r="129" spans="1:21" x14ac:dyDescent="0.55000000000000004">
      <c r="D129" s="36">
        <v>60</v>
      </c>
      <c r="E129" s="36">
        <f t="shared" si="27"/>
        <v>154.32098765432099</v>
      </c>
      <c r="F129" s="36">
        <f t="shared" si="26"/>
        <v>1205480</v>
      </c>
      <c r="S129" s="33"/>
    </row>
    <row r="130" spans="1:21" x14ac:dyDescent="0.55000000000000004">
      <c r="D130" s="36">
        <v>65</v>
      </c>
      <c r="E130" s="36">
        <f t="shared" si="27"/>
        <v>103.42236454767526</v>
      </c>
      <c r="F130" s="36">
        <f t="shared" si="26"/>
        <v>639270</v>
      </c>
      <c r="S130" s="34" t="s">
        <v>146</v>
      </c>
    </row>
    <row r="131" spans="1:21" x14ac:dyDescent="0.55000000000000004">
      <c r="D131" s="36">
        <v>70</v>
      </c>
      <c r="E131" s="36">
        <f t="shared" si="27"/>
        <v>71.398821919438348</v>
      </c>
      <c r="F131" s="36">
        <f t="shared" si="26"/>
        <v>73060</v>
      </c>
      <c r="S131" s="33"/>
    </row>
    <row r="132" spans="1:21" x14ac:dyDescent="0.55000000000000004">
      <c r="D132" s="36">
        <v>75</v>
      </c>
      <c r="E132" s="36">
        <f t="shared" si="27"/>
        <v>50.567901234567906</v>
      </c>
      <c r="F132" s="36">
        <f>-113242*D132+8000000</f>
        <v>-493150</v>
      </c>
      <c r="S132" s="34" t="s">
        <v>147</v>
      </c>
    </row>
    <row r="133" spans="1:21" x14ac:dyDescent="0.55000000000000004">
      <c r="D133" s="36">
        <v>80</v>
      </c>
      <c r="E133" s="36">
        <f t="shared" si="27"/>
        <v>36.621093749999979</v>
      </c>
      <c r="F133" s="36">
        <f t="shared" si="26"/>
        <v>-1059360</v>
      </c>
      <c r="S133" s="33"/>
    </row>
    <row r="134" spans="1:21" x14ac:dyDescent="0.55000000000000004">
      <c r="D134" s="36">
        <v>85</v>
      </c>
      <c r="E134" s="36">
        <f t="shared" si="27"/>
        <v>27.04497706459172</v>
      </c>
      <c r="F134" s="36">
        <f t="shared" si="26"/>
        <v>-1625570</v>
      </c>
      <c r="S134" s="34" t="s">
        <v>148</v>
      </c>
    </row>
    <row r="135" spans="1:21" x14ac:dyDescent="0.55000000000000004">
      <c r="D135" s="36">
        <v>90</v>
      </c>
      <c r="E135" s="36">
        <f t="shared" si="27"/>
        <v>20.32210537011634</v>
      </c>
      <c r="F135" s="36">
        <f t="shared" si="26"/>
        <v>-2191780</v>
      </c>
      <c r="S135" s="33"/>
    </row>
    <row r="136" spans="1:21" x14ac:dyDescent="0.55000000000000004">
      <c r="D136" s="36">
        <v>95</v>
      </c>
      <c r="E136" s="36">
        <f t="shared" si="27"/>
        <v>15.508265218797796</v>
      </c>
      <c r="F136" s="36">
        <f t="shared" si="26"/>
        <v>-2757990</v>
      </c>
      <c r="S136" s="34" t="s">
        <v>149</v>
      </c>
    </row>
    <row r="137" spans="1:21" x14ac:dyDescent="0.55000000000000004">
      <c r="D137" s="36">
        <v>100</v>
      </c>
      <c r="E137" s="36">
        <f t="shared" si="27"/>
        <v>12</v>
      </c>
      <c r="F137" s="36">
        <f t="shared" si="26"/>
        <v>-3324200</v>
      </c>
    </row>
    <row r="138" spans="1:21" x14ac:dyDescent="0.55000000000000004">
      <c r="S138" t="s">
        <v>150</v>
      </c>
    </row>
    <row r="139" spans="1:21" ht="18.3" x14ac:dyDescent="0.7">
      <c r="A139" s="51" t="s">
        <v>196</v>
      </c>
    </row>
    <row r="140" spans="1:21" x14ac:dyDescent="0.55000000000000004">
      <c r="A140" t="s">
        <v>0</v>
      </c>
      <c r="B140" t="s">
        <v>116</v>
      </c>
      <c r="C140" t="s">
        <v>192</v>
      </c>
      <c r="D140" t="s">
        <v>119</v>
      </c>
      <c r="S140" s="3" t="s">
        <v>151</v>
      </c>
    </row>
    <row r="141" spans="1:21" x14ac:dyDescent="0.55000000000000004">
      <c r="A141">
        <v>40.32</v>
      </c>
      <c r="B141">
        <f>-113242*A141+8000000</f>
        <v>3434082.5599999996</v>
      </c>
      <c r="C141">
        <f>A141-20</f>
        <v>20.32</v>
      </c>
      <c r="D141">
        <f>B141*C141</f>
        <v>69780557.619199991</v>
      </c>
    </row>
    <row r="142" spans="1:21" x14ac:dyDescent="0.55000000000000004">
      <c r="A142">
        <v>41.32</v>
      </c>
      <c r="B142">
        <f t="shared" ref="B142:B151" si="28">-113242*A142+8000000</f>
        <v>3320840.5599999996</v>
      </c>
      <c r="C142">
        <f t="shared" ref="C142:C151" si="29">A142-20</f>
        <v>21.32</v>
      </c>
      <c r="D142">
        <f t="shared" ref="D142:D151" si="30">B142*C142</f>
        <v>70800320.739199996</v>
      </c>
      <c r="S142" s="42" t="s">
        <v>152</v>
      </c>
      <c r="T142" s="42" t="s">
        <v>0</v>
      </c>
      <c r="U142" s="42" t="s">
        <v>153</v>
      </c>
    </row>
    <row r="143" spans="1:21" x14ac:dyDescent="0.55000000000000004">
      <c r="A143">
        <v>42.32</v>
      </c>
      <c r="B143">
        <f t="shared" si="28"/>
        <v>3207598.5599999996</v>
      </c>
      <c r="C143">
        <f t="shared" si="29"/>
        <v>22.32</v>
      </c>
      <c r="D143">
        <f t="shared" si="30"/>
        <v>71593599.859199986</v>
      </c>
      <c r="S143" s="43" t="s">
        <v>154</v>
      </c>
      <c r="T143" s="44">
        <v>14</v>
      </c>
      <c r="U143" s="45">
        <v>326021.8</v>
      </c>
    </row>
    <row r="144" spans="1:21" x14ac:dyDescent="0.55000000000000004">
      <c r="A144">
        <v>43.32</v>
      </c>
      <c r="B144">
        <f t="shared" si="28"/>
        <v>3094356.5599999996</v>
      </c>
      <c r="C144">
        <f t="shared" si="29"/>
        <v>23.32</v>
      </c>
      <c r="D144">
        <f t="shared" si="30"/>
        <v>72160394.979199991</v>
      </c>
      <c r="S144" s="43" t="s">
        <v>155</v>
      </c>
      <c r="T144" s="44">
        <v>24</v>
      </c>
      <c r="U144" s="45">
        <v>1551001</v>
      </c>
    </row>
    <row r="145" spans="1:21" ht="28.8" x14ac:dyDescent="0.55000000000000004">
      <c r="A145">
        <v>44.32</v>
      </c>
      <c r="B145">
        <f t="shared" si="28"/>
        <v>2981114.5599999996</v>
      </c>
      <c r="C145">
        <f t="shared" si="29"/>
        <v>24.32</v>
      </c>
      <c r="D145">
        <f t="shared" si="30"/>
        <v>72500706.099199995</v>
      </c>
      <c r="S145" s="46" t="s">
        <v>156</v>
      </c>
      <c r="T145" s="45">
        <v>37.14</v>
      </c>
      <c r="U145" s="47">
        <v>2134094</v>
      </c>
    </row>
    <row r="146" spans="1:21" x14ac:dyDescent="0.55000000000000004">
      <c r="A146" s="38">
        <v>45.32</v>
      </c>
      <c r="B146" s="38">
        <f t="shared" si="28"/>
        <v>2867872.5599999996</v>
      </c>
      <c r="C146" s="38">
        <f t="shared" si="29"/>
        <v>25.32</v>
      </c>
      <c r="D146" s="38">
        <f t="shared" si="30"/>
        <v>72614533.219199985</v>
      </c>
    </row>
    <row r="147" spans="1:21" x14ac:dyDescent="0.55000000000000004">
      <c r="A147">
        <v>46.32</v>
      </c>
      <c r="B147">
        <f t="shared" si="28"/>
        <v>2754630.5599999996</v>
      </c>
      <c r="C147">
        <f t="shared" si="29"/>
        <v>26.32</v>
      </c>
      <c r="D147">
        <f t="shared" si="30"/>
        <v>72501876.33919999</v>
      </c>
      <c r="S147" t="s">
        <v>157</v>
      </c>
    </row>
    <row r="148" spans="1:21" x14ac:dyDescent="0.55000000000000004">
      <c r="A148">
        <v>47.32</v>
      </c>
      <c r="B148">
        <f t="shared" si="28"/>
        <v>2641388.5599999996</v>
      </c>
      <c r="C148">
        <f t="shared" si="29"/>
        <v>27.32</v>
      </c>
      <c r="D148">
        <f t="shared" si="30"/>
        <v>72162735.459199995</v>
      </c>
    </row>
    <row r="149" spans="1:21" x14ac:dyDescent="0.55000000000000004">
      <c r="A149">
        <v>48.32</v>
      </c>
      <c r="B149">
        <f t="shared" si="28"/>
        <v>2528146.5599999996</v>
      </c>
      <c r="C149">
        <f t="shared" si="29"/>
        <v>28.32</v>
      </c>
      <c r="D149">
        <f t="shared" si="30"/>
        <v>71597110.579199985</v>
      </c>
      <c r="S149" s="3" t="s">
        <v>158</v>
      </c>
    </row>
    <row r="150" spans="1:21" x14ac:dyDescent="0.55000000000000004">
      <c r="A150">
        <v>49.32</v>
      </c>
      <c r="B150">
        <f t="shared" si="28"/>
        <v>2414904.5599999996</v>
      </c>
      <c r="C150">
        <f t="shared" si="29"/>
        <v>29.32</v>
      </c>
      <c r="D150">
        <f t="shared" si="30"/>
        <v>70805001.699199989</v>
      </c>
      <c r="S150" s="33"/>
    </row>
    <row r="151" spans="1:21" x14ac:dyDescent="0.55000000000000004">
      <c r="A151">
        <v>50.32</v>
      </c>
      <c r="B151">
        <f t="shared" si="28"/>
        <v>2301662.5599999996</v>
      </c>
      <c r="C151">
        <f t="shared" si="29"/>
        <v>30.32</v>
      </c>
      <c r="D151">
        <f>B151*C151</f>
        <v>69786408.819199994</v>
      </c>
      <c r="S151" s="34" t="s">
        <v>159</v>
      </c>
    </row>
    <row r="152" spans="1:21" x14ac:dyDescent="0.55000000000000004">
      <c r="S152" s="33"/>
    </row>
    <row r="153" spans="1:21" ht="17.399999999999999" x14ac:dyDescent="0.55000000000000004">
      <c r="A153" s="32" t="s">
        <v>108</v>
      </c>
      <c r="S153" s="33" t="s">
        <v>160</v>
      </c>
    </row>
    <row r="154" spans="1:21" x14ac:dyDescent="0.55000000000000004">
      <c r="S154" s="33"/>
    </row>
    <row r="155" spans="1:21" x14ac:dyDescent="0.55000000000000004">
      <c r="A155" t="s">
        <v>198</v>
      </c>
      <c r="S155" s="33" t="s">
        <v>161</v>
      </c>
    </row>
    <row r="156" spans="1:21" x14ac:dyDescent="0.55000000000000004">
      <c r="A156" s="33"/>
    </row>
    <row r="157" spans="1:21" x14ac:dyDescent="0.55000000000000004">
      <c r="A157" s="33" t="s">
        <v>199</v>
      </c>
      <c r="S157" s="3" t="s">
        <v>162</v>
      </c>
    </row>
    <row r="158" spans="1:21" x14ac:dyDescent="0.55000000000000004">
      <c r="A158" s="33"/>
    </row>
    <row r="159" spans="1:21" x14ac:dyDescent="0.55000000000000004">
      <c r="A159" s="33" t="s">
        <v>200</v>
      </c>
    </row>
    <row r="160" spans="1:21" x14ac:dyDescent="0.55000000000000004">
      <c r="A160" s="33"/>
    </row>
    <row r="161" spans="1:1" x14ac:dyDescent="0.55000000000000004">
      <c r="A161" s="33" t="s">
        <v>201</v>
      </c>
    </row>
    <row r="163" spans="1:1" x14ac:dyDescent="0.55000000000000004">
      <c r="A163" t="s">
        <v>202</v>
      </c>
    </row>
    <row r="165" spans="1:1" ht="15.6" x14ac:dyDescent="0.55000000000000004">
      <c r="A165" s="35" t="s">
        <v>91</v>
      </c>
    </row>
    <row r="166" spans="1:1" x14ac:dyDescent="0.55000000000000004">
      <c r="A166" s="33"/>
    </row>
    <row r="167" spans="1:1" x14ac:dyDescent="0.55000000000000004">
      <c r="A167" s="33" t="s">
        <v>203</v>
      </c>
    </row>
    <row r="168" spans="1:1" x14ac:dyDescent="0.55000000000000004">
      <c r="A168" s="33"/>
    </row>
    <row r="169" spans="1:1" x14ac:dyDescent="0.55000000000000004">
      <c r="A169" s="33" t="s">
        <v>204</v>
      </c>
    </row>
    <row r="170" spans="1:1" x14ac:dyDescent="0.55000000000000004">
      <c r="A170" s="33"/>
    </row>
    <row r="171" spans="1:1" x14ac:dyDescent="0.55000000000000004">
      <c r="A171" s="33" t="s">
        <v>205</v>
      </c>
    </row>
    <row r="173" spans="1:1" ht="23.1" x14ac:dyDescent="0.55000000000000004">
      <c r="A173" s="53" t="s">
        <v>208</v>
      </c>
    </row>
    <row r="174" spans="1:1" x14ac:dyDescent="0.55000000000000004">
      <c r="A174" s="33"/>
    </row>
    <row r="175" spans="1:1" x14ac:dyDescent="0.55000000000000004">
      <c r="A175" s="34" t="s">
        <v>209</v>
      </c>
    </row>
    <row r="176" spans="1:1" x14ac:dyDescent="0.55000000000000004">
      <c r="A176" s="33"/>
    </row>
    <row r="177" spans="1:1" x14ac:dyDescent="0.55000000000000004">
      <c r="A177" s="34" t="s">
        <v>210</v>
      </c>
    </row>
    <row r="178" spans="1:1" x14ac:dyDescent="0.55000000000000004">
      <c r="A178" s="33"/>
    </row>
    <row r="179" spans="1:1" x14ac:dyDescent="0.55000000000000004">
      <c r="A179" s="34" t="s">
        <v>211</v>
      </c>
    </row>
    <row r="181" spans="1:1" x14ac:dyDescent="0.55000000000000004">
      <c r="A181" t="s">
        <v>212</v>
      </c>
    </row>
  </sheetData>
  <mergeCells count="4">
    <mergeCell ref="AJ5:AL5"/>
    <mergeCell ref="AQ5:AS5"/>
    <mergeCell ref="V97:V99"/>
    <mergeCell ref="AX5:AZ5"/>
  </mergeCells>
  <pageMargins left="0.7" right="0.7" top="0.75" bottom="0.75" header="0.3" footer="0.3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L78"/>
  <sheetViews>
    <sheetView zoomScale="56" workbookViewId="0">
      <selection activeCell="K11" sqref="K11"/>
    </sheetView>
  </sheetViews>
  <sheetFormatPr defaultRowHeight="14.4" x14ac:dyDescent="0.55000000000000004"/>
  <cols>
    <col min="1" max="1" width="11.7890625" customWidth="1"/>
    <col min="2" max="2" width="11.83984375" customWidth="1"/>
    <col min="3" max="3" width="11.26171875" customWidth="1"/>
    <col min="4" max="4" width="12.15625" customWidth="1"/>
    <col min="5" max="5" width="18.68359375" customWidth="1"/>
  </cols>
  <sheetData>
    <row r="2" spans="1:12" ht="25.5" x14ac:dyDescent="0.55000000000000004">
      <c r="A2" s="20" t="s">
        <v>0</v>
      </c>
      <c r="B2" s="20" t="s">
        <v>21</v>
      </c>
      <c r="C2" t="s">
        <v>116</v>
      </c>
      <c r="D2" t="s">
        <v>213</v>
      </c>
      <c r="E2" t="s">
        <v>119</v>
      </c>
      <c r="F2" t="s">
        <v>191</v>
      </c>
      <c r="I2" s="20"/>
      <c r="J2" s="6" t="s">
        <v>38</v>
      </c>
    </row>
    <row r="3" spans="1:12" x14ac:dyDescent="0.55000000000000004">
      <c r="A3" s="62">
        <v>13.5</v>
      </c>
      <c r="B3" s="24">
        <v>4930000</v>
      </c>
      <c r="C3" s="59">
        <f>H3*A3+H4</f>
        <v>4231000</v>
      </c>
      <c r="D3" s="36">
        <f>A3-B8</f>
        <v>9.5</v>
      </c>
      <c r="E3" s="36">
        <f>D3*C3</f>
        <v>40194500</v>
      </c>
      <c r="F3" s="36">
        <v>4</v>
      </c>
      <c r="G3" t="s">
        <v>74</v>
      </c>
      <c r="H3">
        <f>SLOPE(B3:B6,A3:A6)</f>
        <v>-2848000</v>
      </c>
      <c r="I3" s="19"/>
      <c r="J3" t="s">
        <v>36</v>
      </c>
    </row>
    <row r="4" spans="1:12" x14ac:dyDescent="0.55000000000000004">
      <c r="A4" s="62">
        <v>14</v>
      </c>
      <c r="B4" s="24">
        <v>1950000</v>
      </c>
      <c r="C4" s="59">
        <f>H3*A4+H4</f>
        <v>2807000</v>
      </c>
      <c r="D4" s="36">
        <f>A4-B8</f>
        <v>10</v>
      </c>
      <c r="E4" s="21">
        <f>D4*C4</f>
        <v>28070000</v>
      </c>
      <c r="F4" s="36">
        <v>4</v>
      </c>
      <c r="G4" t="s">
        <v>75</v>
      </c>
      <c r="H4">
        <f>INTERCEPT(B3:B6,A3:A6)</f>
        <v>42679000</v>
      </c>
      <c r="I4" s="19"/>
      <c r="J4" t="s">
        <v>37</v>
      </c>
    </row>
    <row r="5" spans="1:12" x14ac:dyDescent="0.55000000000000004">
      <c r="A5" s="62">
        <v>14.5</v>
      </c>
      <c r="B5" s="24">
        <v>1000000</v>
      </c>
      <c r="C5" s="59">
        <f>H3*A5+H4</f>
        <v>1383000</v>
      </c>
      <c r="D5" s="36">
        <f>A5-B8</f>
        <v>10.5</v>
      </c>
      <c r="E5" s="21">
        <f>D5*C5</f>
        <v>14521500</v>
      </c>
      <c r="F5" s="36">
        <v>4</v>
      </c>
      <c r="G5" t="s">
        <v>214</v>
      </c>
      <c r="H5">
        <f>RSQ(B3:B6,A3:A6)</f>
        <v>0.85913246845686497</v>
      </c>
      <c r="I5" s="19"/>
      <c r="J5" t="s">
        <v>66</v>
      </c>
    </row>
    <row r="6" spans="1:12" x14ac:dyDescent="0.55000000000000004">
      <c r="A6" s="62">
        <v>15</v>
      </c>
      <c r="B6" s="24">
        <v>500000</v>
      </c>
      <c r="C6" s="59">
        <f>H3*A6+H4</f>
        <v>-41000</v>
      </c>
      <c r="D6" s="36">
        <f>A6-B8</f>
        <v>11</v>
      </c>
      <c r="E6" s="21">
        <f>D6*C6</f>
        <v>-451000</v>
      </c>
      <c r="F6" s="36">
        <v>4</v>
      </c>
      <c r="I6" s="19"/>
      <c r="J6" t="s">
        <v>19</v>
      </c>
    </row>
    <row r="7" spans="1:12" x14ac:dyDescent="0.55000000000000004">
      <c r="E7" s="60">
        <f>SUM(E3:E6)</f>
        <v>82335000</v>
      </c>
    </row>
    <row r="8" spans="1:12" x14ac:dyDescent="0.55000000000000004">
      <c r="A8" s="17" t="s">
        <v>20</v>
      </c>
      <c r="B8" s="16">
        <v>4</v>
      </c>
    </row>
    <row r="10" spans="1:12" ht="17.399999999999999" x14ac:dyDescent="0.55000000000000004">
      <c r="A10" s="54"/>
      <c r="B10" s="55"/>
      <c r="K10" t="s">
        <v>72</v>
      </c>
      <c r="L10" s="32" t="s">
        <v>215</v>
      </c>
    </row>
    <row r="11" spans="1:12" x14ac:dyDescent="0.55000000000000004">
      <c r="A11" s="56"/>
      <c r="B11" s="57"/>
      <c r="C11" s="18"/>
      <c r="K11" s="33"/>
    </row>
    <row r="12" spans="1:12" x14ac:dyDescent="0.55000000000000004">
      <c r="A12" s="56"/>
      <c r="B12" s="55"/>
      <c r="K12" s="33" t="s">
        <v>216</v>
      </c>
    </row>
    <row r="13" spans="1:12" x14ac:dyDescent="0.55000000000000004">
      <c r="A13" s="58"/>
      <c r="B13" s="55"/>
      <c r="K13" s="33"/>
    </row>
    <row r="14" spans="1:12" x14ac:dyDescent="0.55000000000000004">
      <c r="A14" s="58"/>
      <c r="B14" s="55"/>
      <c r="K14" s="33" t="s">
        <v>217</v>
      </c>
    </row>
    <row r="15" spans="1:12" x14ac:dyDescent="0.55000000000000004">
      <c r="K15" s="33"/>
    </row>
    <row r="16" spans="1:12" x14ac:dyDescent="0.55000000000000004">
      <c r="K16" s="33" t="s">
        <v>218</v>
      </c>
    </row>
    <row r="17" spans="1:11" x14ac:dyDescent="0.55000000000000004">
      <c r="K17" s="33"/>
    </row>
    <row r="18" spans="1:11" x14ac:dyDescent="0.55000000000000004">
      <c r="K18" s="33" t="s">
        <v>219</v>
      </c>
    </row>
    <row r="21" spans="1:11" ht="17.399999999999999" x14ac:dyDescent="0.55000000000000004">
      <c r="K21" s="32" t="s">
        <v>220</v>
      </c>
    </row>
    <row r="22" spans="1:11" x14ac:dyDescent="0.55000000000000004">
      <c r="K22" s="33"/>
    </row>
    <row r="23" spans="1:11" x14ac:dyDescent="0.55000000000000004">
      <c r="K23" s="33" t="s">
        <v>221</v>
      </c>
    </row>
    <row r="24" spans="1:11" x14ac:dyDescent="0.55000000000000004">
      <c r="K24" s="33"/>
    </row>
    <row r="25" spans="1:11" x14ac:dyDescent="0.55000000000000004">
      <c r="K25" s="33" t="s">
        <v>222</v>
      </c>
    </row>
    <row r="26" spans="1:11" x14ac:dyDescent="0.55000000000000004">
      <c r="A26" s="20"/>
      <c r="B26" s="20"/>
      <c r="K26" s="33"/>
    </row>
    <row r="27" spans="1:11" x14ac:dyDescent="0.55000000000000004">
      <c r="A27" s="19"/>
      <c r="B27" s="24"/>
      <c r="C27" s="61"/>
      <c r="D27" s="36"/>
      <c r="E27" s="36"/>
      <c r="F27" s="36"/>
      <c r="K27" s="33" t="s">
        <v>223</v>
      </c>
    </row>
    <row r="28" spans="1:11" x14ac:dyDescent="0.55000000000000004">
      <c r="A28" s="19"/>
      <c r="B28" s="24"/>
      <c r="C28" s="59"/>
      <c r="D28" s="36"/>
      <c r="E28" s="21"/>
      <c r="F28" s="36"/>
    </row>
    <row r="29" spans="1:11" x14ac:dyDescent="0.55000000000000004">
      <c r="A29" s="19"/>
      <c r="B29" s="24"/>
      <c r="C29" s="59"/>
      <c r="D29" s="36"/>
      <c r="E29" s="21"/>
      <c r="F29" s="36"/>
    </row>
    <row r="30" spans="1:11" ht="23.1" x14ac:dyDescent="0.55000000000000004">
      <c r="A30" s="19"/>
      <c r="B30" s="24"/>
      <c r="C30" s="59"/>
      <c r="D30" s="36"/>
      <c r="E30" s="21"/>
      <c r="F30" s="36"/>
      <c r="J30" t="s">
        <v>224</v>
      </c>
      <c r="K30" s="53" t="s">
        <v>243</v>
      </c>
    </row>
    <row r="31" spans="1:11" x14ac:dyDescent="0.55000000000000004">
      <c r="E31" s="63"/>
    </row>
    <row r="32" spans="1:11" ht="17.399999999999999" x14ac:dyDescent="0.55000000000000004">
      <c r="A32" s="17"/>
      <c r="B32" s="16"/>
      <c r="K32" s="32" t="s">
        <v>225</v>
      </c>
    </row>
    <row r="33" spans="11:11" x14ac:dyDescent="0.55000000000000004">
      <c r="K33" s="33"/>
    </row>
    <row r="34" spans="11:11" x14ac:dyDescent="0.55000000000000004">
      <c r="K34" s="33" t="s">
        <v>226</v>
      </c>
    </row>
    <row r="35" spans="11:11" x14ac:dyDescent="0.55000000000000004">
      <c r="K35" s="33"/>
    </row>
    <row r="36" spans="11:11" x14ac:dyDescent="0.55000000000000004">
      <c r="K36" s="33" t="s">
        <v>227</v>
      </c>
    </row>
    <row r="38" spans="11:11" ht="17.399999999999999" x14ac:dyDescent="0.55000000000000004">
      <c r="K38" s="32" t="s">
        <v>228</v>
      </c>
    </row>
    <row r="39" spans="11:11" x14ac:dyDescent="0.55000000000000004">
      <c r="K39" s="33"/>
    </row>
    <row r="40" spans="11:11" x14ac:dyDescent="0.55000000000000004">
      <c r="K40" s="33" t="s">
        <v>229</v>
      </c>
    </row>
    <row r="41" spans="11:11" x14ac:dyDescent="0.55000000000000004">
      <c r="K41" s="33"/>
    </row>
    <row r="42" spans="11:11" x14ac:dyDescent="0.55000000000000004">
      <c r="K42" s="33" t="s">
        <v>230</v>
      </c>
    </row>
    <row r="44" spans="11:11" ht="17.399999999999999" x14ac:dyDescent="0.55000000000000004">
      <c r="K44" s="32" t="s">
        <v>231</v>
      </c>
    </row>
    <row r="45" spans="11:11" x14ac:dyDescent="0.55000000000000004">
      <c r="K45" s="33"/>
    </row>
    <row r="46" spans="11:11" x14ac:dyDescent="0.55000000000000004">
      <c r="K46" s="33" t="s">
        <v>232</v>
      </c>
    </row>
    <row r="47" spans="11:11" x14ac:dyDescent="0.55000000000000004">
      <c r="K47" s="33"/>
    </row>
    <row r="48" spans="11:11" x14ac:dyDescent="0.55000000000000004">
      <c r="K48" s="33" t="s">
        <v>233</v>
      </c>
    </row>
    <row r="50" spans="11:11" ht="17.399999999999999" x14ac:dyDescent="0.55000000000000004">
      <c r="K50" s="32" t="s">
        <v>234</v>
      </c>
    </row>
    <row r="51" spans="11:11" x14ac:dyDescent="0.55000000000000004">
      <c r="K51" s="33"/>
    </row>
    <row r="52" spans="11:11" x14ac:dyDescent="0.55000000000000004">
      <c r="K52" s="33" t="s">
        <v>235</v>
      </c>
    </row>
    <row r="53" spans="11:11" x14ac:dyDescent="0.55000000000000004">
      <c r="K53" s="33"/>
    </row>
    <row r="54" spans="11:11" x14ac:dyDescent="0.55000000000000004">
      <c r="K54" s="33" t="s">
        <v>236</v>
      </c>
    </row>
    <row r="56" spans="11:11" ht="17.399999999999999" x14ac:dyDescent="0.55000000000000004">
      <c r="K56" s="32" t="s">
        <v>237</v>
      </c>
    </row>
    <row r="57" spans="11:11" x14ac:dyDescent="0.55000000000000004">
      <c r="K57" s="33"/>
    </row>
    <row r="58" spans="11:11" x14ac:dyDescent="0.55000000000000004">
      <c r="K58" s="33" t="s">
        <v>238</v>
      </c>
    </row>
    <row r="59" spans="11:11" x14ac:dyDescent="0.55000000000000004">
      <c r="K59" s="33"/>
    </row>
    <row r="60" spans="11:11" x14ac:dyDescent="0.55000000000000004">
      <c r="K60" s="33" t="s">
        <v>239</v>
      </c>
    </row>
    <row r="62" spans="11:11" ht="17.399999999999999" x14ac:dyDescent="0.55000000000000004">
      <c r="K62" s="32" t="s">
        <v>240</v>
      </c>
    </row>
    <row r="63" spans="11:11" x14ac:dyDescent="0.55000000000000004">
      <c r="K63" s="33"/>
    </row>
    <row r="64" spans="11:11" x14ac:dyDescent="0.55000000000000004">
      <c r="K64" s="33" t="s">
        <v>241</v>
      </c>
    </row>
    <row r="65" spans="11:11" x14ac:dyDescent="0.55000000000000004">
      <c r="K65" s="33"/>
    </row>
    <row r="66" spans="11:11" x14ac:dyDescent="0.55000000000000004">
      <c r="K66" s="33" t="s">
        <v>242</v>
      </c>
    </row>
    <row r="68" spans="11:11" ht="23.1" x14ac:dyDescent="0.55000000000000004">
      <c r="K68" s="53" t="s">
        <v>244</v>
      </c>
    </row>
    <row r="70" spans="11:11" x14ac:dyDescent="0.55000000000000004">
      <c r="K70" t="s">
        <v>245</v>
      </c>
    </row>
    <row r="71" spans="11:11" x14ac:dyDescent="0.55000000000000004">
      <c r="K71" s="33"/>
    </row>
    <row r="72" spans="11:11" x14ac:dyDescent="0.55000000000000004">
      <c r="K72" s="34" t="s">
        <v>246</v>
      </c>
    </row>
    <row r="73" spans="11:11" x14ac:dyDescent="0.55000000000000004">
      <c r="K73" s="33"/>
    </row>
    <row r="74" spans="11:11" x14ac:dyDescent="0.55000000000000004">
      <c r="K74" s="34" t="s">
        <v>247</v>
      </c>
    </row>
    <row r="75" spans="11:11" x14ac:dyDescent="0.55000000000000004">
      <c r="K75" s="33"/>
    </row>
    <row r="76" spans="11:11" x14ac:dyDescent="0.55000000000000004">
      <c r="K76" s="34" t="s">
        <v>248</v>
      </c>
    </row>
    <row r="78" spans="11:11" x14ac:dyDescent="0.55000000000000004">
      <c r="K78" t="s">
        <v>249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44"/>
  <sheetViews>
    <sheetView zoomScale="70" workbookViewId="0">
      <selection activeCell="L17" sqref="L17"/>
    </sheetView>
  </sheetViews>
  <sheetFormatPr defaultRowHeight="14.4" x14ac:dyDescent="0.55000000000000004"/>
  <cols>
    <col min="1" max="1" width="16.26171875" bestFit="1" customWidth="1"/>
    <col min="3" max="3" width="12.5234375" bestFit="1" customWidth="1"/>
    <col min="4" max="4" width="15.15625" customWidth="1"/>
    <col min="5" max="5" width="13.89453125" customWidth="1"/>
    <col min="6" max="6" width="13.9453125" customWidth="1"/>
    <col min="7" max="7" width="18.62890625" customWidth="1"/>
    <col min="8" max="8" width="17.7890625" customWidth="1"/>
    <col min="9" max="9" width="14.3671875" customWidth="1"/>
    <col min="10" max="10" width="10.26171875" bestFit="1" customWidth="1"/>
    <col min="11" max="11" width="14.578125" customWidth="1"/>
    <col min="12" max="12" width="9.62890625" bestFit="1" customWidth="1"/>
    <col min="13" max="13" width="12.83984375" customWidth="1"/>
    <col min="14" max="14" width="11" customWidth="1"/>
  </cols>
  <sheetData>
    <row r="1" spans="1:16" ht="28.8" x14ac:dyDescent="0.55000000000000004">
      <c r="A1" s="8" t="s">
        <v>15</v>
      </c>
      <c r="B1" s="8" t="s">
        <v>16</v>
      </c>
      <c r="C1" s="8" t="s">
        <v>17</v>
      </c>
      <c r="D1" s="8" t="s">
        <v>45</v>
      </c>
      <c r="E1" s="8" t="s">
        <v>18</v>
      </c>
      <c r="I1" s="7" t="s">
        <v>39</v>
      </c>
    </row>
    <row r="2" spans="1:16" ht="14.5" customHeight="1" x14ac:dyDescent="0.55000000000000004">
      <c r="A2" t="s">
        <v>22</v>
      </c>
      <c r="B2">
        <v>7.4</v>
      </c>
      <c r="C2" s="9">
        <v>189</v>
      </c>
      <c r="D2" s="10">
        <v>300</v>
      </c>
      <c r="E2" s="9">
        <v>90</v>
      </c>
      <c r="I2" s="37" t="s">
        <v>44</v>
      </c>
      <c r="J2" s="37"/>
      <c r="K2" s="37"/>
      <c r="L2" s="37"/>
      <c r="M2" s="37"/>
      <c r="N2" s="37"/>
      <c r="O2" s="37"/>
      <c r="P2" s="37"/>
    </row>
    <row r="3" spans="1:16" x14ac:dyDescent="0.55000000000000004">
      <c r="A3" t="s">
        <v>23</v>
      </c>
      <c r="B3">
        <v>12.5</v>
      </c>
      <c r="C3" s="9">
        <v>50</v>
      </c>
      <c r="D3" s="11">
        <v>0.88</v>
      </c>
      <c r="E3" s="9">
        <v>7</v>
      </c>
    </row>
    <row r="4" spans="1:16" x14ac:dyDescent="0.55000000000000004">
      <c r="A4" t="s">
        <v>24</v>
      </c>
      <c r="B4">
        <v>10.4</v>
      </c>
      <c r="C4" s="9">
        <v>75</v>
      </c>
      <c r="D4" s="11">
        <v>7.0000000000000007E-2</v>
      </c>
      <c r="E4" s="9">
        <v>25</v>
      </c>
      <c r="I4" s="3" t="s">
        <v>42</v>
      </c>
    </row>
    <row r="5" spans="1:16" x14ac:dyDescent="0.55000000000000004">
      <c r="A5" t="s">
        <v>25</v>
      </c>
      <c r="B5">
        <v>6.4</v>
      </c>
      <c r="C5" s="9">
        <v>100</v>
      </c>
      <c r="D5" s="11">
        <v>0.23</v>
      </c>
      <c r="E5" s="9">
        <v>25</v>
      </c>
      <c r="I5" s="3" t="s">
        <v>40</v>
      </c>
    </row>
    <row r="6" spans="1:16" x14ac:dyDescent="0.55000000000000004">
      <c r="I6" s="3" t="s">
        <v>41</v>
      </c>
    </row>
    <row r="7" spans="1:16" x14ac:dyDescent="0.55000000000000004">
      <c r="J7" s="12"/>
    </row>
    <row r="8" spans="1:16" x14ac:dyDescent="0.55000000000000004">
      <c r="J8" s="12"/>
    </row>
    <row r="9" spans="1:16" x14ac:dyDescent="0.55000000000000004">
      <c r="B9" s="3"/>
      <c r="C9" s="3"/>
      <c r="D9" s="3"/>
      <c r="E9" s="3"/>
      <c r="J9" s="12"/>
    </row>
    <row r="10" spans="1:16" x14ac:dyDescent="0.55000000000000004">
      <c r="A10" s="3" t="str">
        <f>A2</f>
        <v>Dress Shoes</v>
      </c>
      <c r="B10" s="13" t="s">
        <v>250</v>
      </c>
      <c r="C10" t="s">
        <v>16</v>
      </c>
      <c r="D10" t="s">
        <v>17</v>
      </c>
      <c r="E10" s="1" t="s">
        <v>251</v>
      </c>
      <c r="F10" t="s">
        <v>191</v>
      </c>
      <c r="G10" t="s">
        <v>266</v>
      </c>
      <c r="H10" t="s">
        <v>252</v>
      </c>
      <c r="I10" t="s">
        <v>253</v>
      </c>
      <c r="J10" s="64" t="s">
        <v>213</v>
      </c>
      <c r="K10" t="s">
        <v>119</v>
      </c>
      <c r="M10" t="s">
        <v>265</v>
      </c>
      <c r="N10">
        <v>0.3</v>
      </c>
    </row>
    <row r="11" spans="1:16" x14ac:dyDescent="0.55000000000000004">
      <c r="B11" s="65">
        <v>250</v>
      </c>
      <c r="C11">
        <v>7.4</v>
      </c>
      <c r="D11">
        <v>189</v>
      </c>
      <c r="E11">
        <v>300</v>
      </c>
      <c r="F11">
        <v>90</v>
      </c>
      <c r="G11">
        <f>F13-F11</f>
        <v>27</v>
      </c>
      <c r="H11" s="13">
        <f>E11*(1+C11*((B11-D11/D11)))</f>
        <v>553080</v>
      </c>
      <c r="I11" s="70">
        <f>MIN(H11,750)</f>
        <v>750</v>
      </c>
      <c r="J11" s="13">
        <f>B11-F11</f>
        <v>160</v>
      </c>
      <c r="K11" s="67">
        <f>I11*J11</f>
        <v>120000</v>
      </c>
      <c r="N11" s="14"/>
    </row>
    <row r="12" spans="1:16" x14ac:dyDescent="0.55000000000000004">
      <c r="F12" t="s">
        <v>264</v>
      </c>
      <c r="I12" s="70">
        <f>MIN(H11,750)</f>
        <v>750</v>
      </c>
      <c r="J12" s="69">
        <f>B11-F13</f>
        <v>133</v>
      </c>
      <c r="K12" s="13">
        <f>I12*J12</f>
        <v>99750</v>
      </c>
    </row>
    <row r="13" spans="1:16" x14ac:dyDescent="0.55000000000000004">
      <c r="B13" s="3"/>
      <c r="C13" s="3"/>
      <c r="D13" s="3"/>
      <c r="E13" s="3"/>
      <c r="F13" s="68">
        <f>F11*(1+N10)</f>
        <v>117</v>
      </c>
      <c r="G13" s="71"/>
      <c r="K13" s="73" t="s">
        <v>267</v>
      </c>
      <c r="L13" s="74">
        <f>I12*G11</f>
        <v>20250</v>
      </c>
      <c r="M13" t="s">
        <v>268</v>
      </c>
    </row>
    <row r="14" spans="1:16" x14ac:dyDescent="0.55000000000000004">
      <c r="A14" s="3" t="str">
        <f>A3</f>
        <v>Belt</v>
      </c>
      <c r="B14" s="65">
        <v>100</v>
      </c>
      <c r="C14" s="66">
        <v>12.5</v>
      </c>
      <c r="D14">
        <v>50</v>
      </c>
      <c r="E14" s="1">
        <v>880</v>
      </c>
      <c r="F14">
        <v>7</v>
      </c>
      <c r="H14" s="13">
        <f>E14*(1+C14*((B14-D14/D14)))</f>
        <v>1089880</v>
      </c>
      <c r="I14">
        <v>1000</v>
      </c>
      <c r="J14" s="13">
        <f>B14-F14</f>
        <v>93</v>
      </c>
      <c r="K14" s="67">
        <f>J14*I14</f>
        <v>93000</v>
      </c>
      <c r="L14" s="72"/>
    </row>
    <row r="15" spans="1:16" x14ac:dyDescent="0.55000000000000004">
      <c r="B15" s="13"/>
      <c r="C15" s="15"/>
      <c r="F15" t="s">
        <v>264</v>
      </c>
      <c r="G15">
        <f>F16-F14</f>
        <v>2.0999999999999996</v>
      </c>
      <c r="J15" s="69">
        <f>B14-F16</f>
        <v>90.9</v>
      </c>
      <c r="K15" s="13">
        <f>J15*I14</f>
        <v>90900</v>
      </c>
      <c r="L15" s="72"/>
    </row>
    <row r="16" spans="1:16" x14ac:dyDescent="0.55000000000000004">
      <c r="F16" s="68">
        <f>F14*(1+N10)</f>
        <v>9.1</v>
      </c>
      <c r="G16" s="71"/>
      <c r="K16" s="73" t="s">
        <v>267</v>
      </c>
      <c r="L16" s="74">
        <f>I14*G15</f>
        <v>2099.9999999999995</v>
      </c>
    </row>
    <row r="17" spans="1:12" x14ac:dyDescent="0.55000000000000004">
      <c r="B17" s="3"/>
      <c r="C17" s="3"/>
      <c r="D17" s="3"/>
      <c r="E17" s="3"/>
      <c r="L17" s="72"/>
    </row>
    <row r="18" spans="1:12" x14ac:dyDescent="0.55000000000000004">
      <c r="A18" s="3" t="str">
        <f>A4</f>
        <v>Cuff links</v>
      </c>
      <c r="B18" s="65">
        <v>130</v>
      </c>
      <c r="C18" s="31">
        <v>0.104</v>
      </c>
      <c r="D18">
        <v>75</v>
      </c>
      <c r="E18" s="1">
        <v>700</v>
      </c>
      <c r="F18">
        <v>25</v>
      </c>
      <c r="H18" s="13">
        <f>E18*(1+C18*((B18-D18/D18)))</f>
        <v>10091.199999999999</v>
      </c>
      <c r="I18">
        <v>1200</v>
      </c>
      <c r="J18" s="13">
        <f>B18-F18</f>
        <v>105</v>
      </c>
      <c r="K18" s="67">
        <f>J18*I18</f>
        <v>126000</v>
      </c>
      <c r="L18" s="72"/>
    </row>
    <row r="19" spans="1:12" x14ac:dyDescent="0.55000000000000004">
      <c r="B19" s="13"/>
      <c r="C19" s="15"/>
      <c r="F19" t="s">
        <v>264</v>
      </c>
      <c r="G19">
        <f>F20-F18</f>
        <v>7.5</v>
      </c>
      <c r="J19" s="69">
        <f>B18-F20</f>
        <v>97.5</v>
      </c>
      <c r="K19" s="13">
        <f>J19*I18</f>
        <v>117000</v>
      </c>
      <c r="L19" s="72"/>
    </row>
    <row r="20" spans="1:12" x14ac:dyDescent="0.55000000000000004">
      <c r="F20" s="68">
        <f>F18*(1+N10)</f>
        <v>32.5</v>
      </c>
      <c r="G20" s="71"/>
      <c r="K20" s="73" t="s">
        <v>267</v>
      </c>
      <c r="L20" s="74">
        <f>I18*G19</f>
        <v>9000</v>
      </c>
    </row>
    <row r="21" spans="1:12" x14ac:dyDescent="0.55000000000000004">
      <c r="B21" s="3"/>
      <c r="C21" s="3"/>
      <c r="D21" s="3"/>
      <c r="E21" s="3"/>
      <c r="L21" s="72"/>
    </row>
    <row r="22" spans="1:12" x14ac:dyDescent="0.55000000000000004">
      <c r="A22" s="3" t="str">
        <f>A5</f>
        <v>Watch</v>
      </c>
      <c r="B22" s="65">
        <v>300</v>
      </c>
      <c r="C22" s="31">
        <v>6.4000000000000001E-2</v>
      </c>
      <c r="D22">
        <v>100</v>
      </c>
      <c r="E22" s="1">
        <v>2300</v>
      </c>
      <c r="F22">
        <v>25</v>
      </c>
      <c r="G22">
        <f>F23-F22</f>
        <v>7.5</v>
      </c>
      <c r="H22" s="13">
        <f>E22*(1+C22*((B22-D22/D22)))</f>
        <v>46312.799999999996</v>
      </c>
      <c r="I22">
        <v>3000</v>
      </c>
      <c r="J22" s="13">
        <f>B22-F22</f>
        <v>275</v>
      </c>
      <c r="K22" s="67">
        <f>J22*I22</f>
        <v>825000</v>
      </c>
      <c r="L22" s="72"/>
    </row>
    <row r="23" spans="1:12" x14ac:dyDescent="0.55000000000000004">
      <c r="B23" s="13"/>
      <c r="C23" s="15"/>
      <c r="F23" s="68">
        <f>F22*(1+N10)</f>
        <v>32.5</v>
      </c>
      <c r="G23" s="71"/>
      <c r="J23" s="69">
        <f>B22-F23</f>
        <v>267.5</v>
      </c>
      <c r="K23" s="13">
        <f>J23*I22</f>
        <v>802500</v>
      </c>
      <c r="L23" s="72"/>
    </row>
    <row r="24" spans="1:12" x14ac:dyDescent="0.55000000000000004">
      <c r="K24" s="73" t="s">
        <v>267</v>
      </c>
      <c r="L24" s="74">
        <f>I22*G22</f>
        <v>22500</v>
      </c>
    </row>
    <row r="25" spans="1:12" x14ac:dyDescent="0.55000000000000004">
      <c r="A25" t="s">
        <v>72</v>
      </c>
    </row>
    <row r="26" spans="1:12" ht="23.1" x14ac:dyDescent="0.55000000000000004">
      <c r="A26" s="53" t="s">
        <v>254</v>
      </c>
    </row>
    <row r="27" spans="1:12" x14ac:dyDescent="0.55000000000000004">
      <c r="A27" s="33"/>
    </row>
    <row r="28" spans="1:12" x14ac:dyDescent="0.55000000000000004">
      <c r="A28" s="34" t="s">
        <v>255</v>
      </c>
    </row>
    <row r="29" spans="1:12" x14ac:dyDescent="0.55000000000000004">
      <c r="A29" s="33"/>
    </row>
    <row r="30" spans="1:12" x14ac:dyDescent="0.55000000000000004">
      <c r="A30" s="34" t="s">
        <v>256</v>
      </c>
    </row>
    <row r="31" spans="1:12" x14ac:dyDescent="0.55000000000000004">
      <c r="A31" s="33"/>
    </row>
    <row r="32" spans="1:12" x14ac:dyDescent="0.55000000000000004">
      <c r="A32" s="34" t="s">
        <v>257</v>
      </c>
    </row>
    <row r="33" spans="1:1" x14ac:dyDescent="0.55000000000000004">
      <c r="A33" s="33"/>
    </row>
    <row r="34" spans="1:1" x14ac:dyDescent="0.55000000000000004">
      <c r="A34" s="34" t="s">
        <v>258</v>
      </c>
    </row>
    <row r="36" spans="1:1" ht="23.1" x14ac:dyDescent="0.55000000000000004">
      <c r="A36" s="53" t="s">
        <v>259</v>
      </c>
    </row>
    <row r="37" spans="1:1" x14ac:dyDescent="0.55000000000000004">
      <c r="A37" s="33"/>
    </row>
    <row r="38" spans="1:1" x14ac:dyDescent="0.55000000000000004">
      <c r="A38" s="34" t="s">
        <v>260</v>
      </c>
    </row>
    <row r="39" spans="1:1" x14ac:dyDescent="0.55000000000000004">
      <c r="A39" s="33"/>
    </row>
    <row r="40" spans="1:1" x14ac:dyDescent="0.55000000000000004">
      <c r="A40" s="34" t="s">
        <v>261</v>
      </c>
    </row>
    <row r="41" spans="1:1" x14ac:dyDescent="0.55000000000000004">
      <c r="A41" s="33"/>
    </row>
    <row r="42" spans="1:1" x14ac:dyDescent="0.55000000000000004">
      <c r="A42" s="34" t="s">
        <v>262</v>
      </c>
    </row>
    <row r="43" spans="1:1" x14ac:dyDescent="0.55000000000000004">
      <c r="A43" s="33"/>
    </row>
    <row r="44" spans="1:1" x14ac:dyDescent="0.55000000000000004">
      <c r="A44" s="34" t="s">
        <v>263</v>
      </c>
    </row>
  </sheetData>
  <mergeCells count="1">
    <mergeCell ref="I2:P2"/>
  </mergeCells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9D4651-D719-4EF9-9D55-0AF1A4EAC7D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Price Optimization (1)</vt:lpstr>
      <vt:lpstr>Price Optimization (2)</vt:lpstr>
      <vt:lpstr>Complimentary Pricing</vt:lpstr>
    </vt:vector>
  </TitlesOfParts>
  <Company>Webster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F. Rhiney</dc:creator>
  <cp:lastModifiedBy>pranav mekala</cp:lastModifiedBy>
  <dcterms:created xsi:type="dcterms:W3CDTF">2018-10-20T21:28:37Z</dcterms:created>
  <dcterms:modified xsi:type="dcterms:W3CDTF">2025-09-15T06:40:42Z</dcterms:modified>
</cp:coreProperties>
</file>